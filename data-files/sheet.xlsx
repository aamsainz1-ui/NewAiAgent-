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d result" sheetId="1" r:id="rId5"/>
    <sheet state="visible" name="T.TAKENG" sheetId="2" r:id="rId6"/>
    <sheet state="visible" name="T.BANK" sheetId="3" r:id="rId7"/>
    <sheet state="visible" name="T.LUNNY" sheetId="4" r:id="rId8"/>
    <sheet state="visible" name="MKT List" sheetId="5" r:id="rId9"/>
  </sheets>
  <definedNames/>
  <calcPr/>
</workbook>
</file>

<file path=xl/sharedStrings.xml><?xml version="1.0" encoding="utf-8"?>
<sst xmlns="http://schemas.openxmlformats.org/spreadsheetml/2006/main" count="272" uniqueCount="85">
  <si>
    <t xml:space="preserve">KBANK (1) - 146 </t>
  </si>
  <si>
    <t>KBANK (2) - 187</t>
  </si>
  <si>
    <t>date</t>
  </si>
  <si>
    <t>list</t>
  </si>
  <si>
    <t>value</t>
  </si>
  <si>
    <t>balance</t>
  </si>
  <si>
    <t>etc.</t>
  </si>
  <si>
    <t>โยกไปใช้บัตรลันนี่ รอบัตรใหม่</t>
  </si>
  <si>
    <t>คงเหลือเดือนก่อน</t>
  </si>
  <si>
    <t>Bank</t>
  </si>
  <si>
    <t>เบิก</t>
  </si>
  <si>
    <t>Lanny</t>
  </si>
  <si>
    <t>ค่าห้อง Lanny</t>
  </si>
  <si>
    <t>Takeng</t>
  </si>
  <si>
    <t>ค่าห้อง Takeng</t>
  </si>
  <si>
    <t>ค่าเน็ต Lanny</t>
  </si>
  <si>
    <t>ค่าน้ำ Lanny</t>
  </si>
  <si>
    <t>Domain Web</t>
  </si>
  <si>
    <t>Fb Bank</t>
  </si>
  <si>
    <t>ค่าไฟ Lanny</t>
  </si>
  <si>
    <t>Internet + PEA -b</t>
  </si>
  <si>
    <t>ล่วงหน้า Takeng</t>
  </si>
  <si>
    <t>ล่วงหน้า Lanny</t>
  </si>
  <si>
    <t>Seller/Ch Lanny</t>
  </si>
  <si>
    <t>สมัครบัตรเดบิต</t>
  </si>
  <si>
    <t>Payment</t>
  </si>
  <si>
    <t>Work equipments</t>
  </si>
  <si>
    <t>card</t>
  </si>
  <si>
    <t>detail</t>
  </si>
  <si>
    <t>ยอดเหลือเดือนก่อน</t>
  </si>
  <si>
    <t>mobile</t>
  </si>
  <si>
    <t>iphone 11</t>
  </si>
  <si>
    <t>Ads star</t>
  </si>
  <si>
    <t>monitor</t>
  </si>
  <si>
    <t>cpu</t>
  </si>
  <si>
    <t>mouse</t>
  </si>
  <si>
    <t>keyboard</t>
  </si>
  <si>
    <t>ค่าห้อง</t>
  </si>
  <si>
    <t>hdmi cable</t>
  </si>
  <si>
    <t>microphone</t>
  </si>
  <si>
    <t>ค่าช่อง star</t>
  </si>
  <si>
    <t>Ads 888</t>
  </si>
  <si>
    <t>เงินคืน</t>
  </si>
  <si>
    <t>Ads wins</t>
  </si>
  <si>
    <t>Ads won</t>
  </si>
  <si>
    <t>HCKO</t>
  </si>
  <si>
    <t>router net</t>
  </si>
  <si>
    <t>tp-link</t>
  </si>
  <si>
    <t>ยิง Sms won</t>
  </si>
  <si>
    <t>-</t>
  </si>
  <si>
    <t>ชื่อเล่น</t>
  </si>
  <si>
    <t>ชื่อ สกุล</t>
  </si>
  <si>
    <t>เลขบัญชี</t>
  </si>
  <si>
    <t>ธนาคาร</t>
  </si>
  <si>
    <t>ทีม</t>
  </si>
  <si>
    <t>เงินเดือน</t>
  </si>
  <si>
    <t>ค่าข้าว</t>
  </si>
  <si>
    <t>เบิกล่วงหน้า</t>
  </si>
  <si>
    <t>คงเหลือ</t>
  </si>
  <si>
    <t>วันที่ทำงาน</t>
  </si>
  <si>
    <t>หมายเหตุ</t>
  </si>
  <si>
    <t>เก่ง</t>
  </si>
  <si>
    <t>เกียรติศักดิ์ สุขเกษม</t>
  </si>
  <si>
    <t>ไทยพานิชย์</t>
  </si>
  <si>
    <t>takeng</t>
  </si>
  <si>
    <t>✅</t>
  </si>
  <si>
    <t>พิม</t>
  </si>
  <si>
    <t>อำพร อิ่มสมัย</t>
  </si>
  <si>
    <t>โอนรวมตาเก่ง</t>
  </si>
  <si>
    <t>แบงค์</t>
  </si>
  <si>
    <t>ทศพล เพียวอยู่</t>
  </si>
  <si>
    <t>เงินสด</t>
  </si>
  <si>
    <t>bank</t>
  </si>
  <si>
    <t>รับเงินสด</t>
  </si>
  <si>
    <t>โอ๊ต</t>
  </si>
  <si>
    <t>ชนะชัย ศาสตร์ประเสริฐ</t>
  </si>
  <si>
    <t>ลัน</t>
  </si>
  <si>
    <t>เม่า</t>
  </si>
  <si>
    <t>นันทชัย ผ่องใส</t>
  </si>
  <si>
    <t>รุสลัน หลียะลา</t>
  </si>
  <si>
    <t>กรุงไทย</t>
  </si>
  <si>
    <t>lunny</t>
  </si>
  <si>
    <t>บอม</t>
  </si>
  <si>
    <t>sum.</t>
  </si>
  <si>
    <t>ยอดเบิกรวม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</si>
</sst>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"/>
    <numFmt numFmtId="165" formatCode="d/m/yy"/>
    <numFmt numFmtId="166" formatCode="#,##0.00;(#,##0.00)"/>
    <numFmt numFmtId="167" formatCode="mmmm yyyy"/>
  </numFmts>
  <fonts count="12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sz val="11.0"/>
      <color rgb="FFFF0000"/>
      <name val="Arial"/>
      <scheme val="minor"/>
    </font>
    <font>
      <color rgb="FFFFFFFF"/>
      <name val="Arial"/>
      <scheme val="minor"/>
    </font>
    <font>
      <sz val="11.0"/>
      <color rgb="FF000000"/>
      <name val="Arial"/>
      <scheme val="minor"/>
    </font>
    <font>
      <sz val="11.0"/>
      <color rgb="FFFF0000"/>
      <name val="Arial"/>
      <scheme val="minor"/>
    </font>
    <font>
      <color theme="1"/>
      <name val="Arial"/>
    </font>
    <font>
      <color rgb="FFFF0000"/>
      <name val="Arial"/>
      <scheme val="minor"/>
    </font>
    <font>
      <b/>
      <sz val="11.0"/>
      <color rgb="FF000000"/>
      <name val="Arial"/>
      <scheme val="minor"/>
    </font>
    <font>
      <sz val="12.0"/>
      <color rgb="FFFFFFF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3" fontId="3" numFmtId="164" xfId="0" applyAlignment="1" applyFont="1" applyNumberForma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3" fontId="3" numFmtId="4" xfId="0" applyAlignment="1" applyFont="1" applyNumberFormat="1">
      <alignment horizontal="center" readingOrder="0"/>
    </xf>
    <xf borderId="0" fillId="0" fontId="3" numFmtId="4" xfId="0" applyAlignment="1" applyFont="1" applyNumberFormat="1">
      <alignment horizontal="center" readingOrder="0"/>
    </xf>
    <xf borderId="0" fillId="0" fontId="3" numFmtId="0" xfId="0" applyAlignment="1" applyFont="1">
      <alignment horizontal="center"/>
    </xf>
    <xf borderId="0" fillId="3" fontId="3" numFmtId="0" xfId="0" applyAlignment="1" applyFont="1">
      <alignment horizontal="center"/>
    </xf>
    <xf borderId="0" fillId="3" fontId="3" numFmtId="165" xfId="0" applyAlignment="1" applyFont="1" applyNumberForma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3" fontId="3" numFmtId="4" xfId="0" applyAlignment="1" applyFont="1" applyNumberFormat="1">
      <alignment horizontal="center"/>
    </xf>
    <xf borderId="0" fillId="2" fontId="4" numFmtId="0" xfId="0" applyAlignment="1" applyFont="1">
      <alignment horizontal="center" readingOrder="0"/>
    </xf>
    <xf borderId="0" fillId="4" fontId="2" numFmtId="0" xfId="0" applyAlignment="1" applyFont="1">
      <alignment horizontal="center" readingOrder="0"/>
    </xf>
    <xf borderId="0" fillId="4" fontId="3" numFmtId="0" xfId="0" applyAlignment="1" applyFont="1">
      <alignment horizontal="center"/>
    </xf>
    <xf borderId="1" fillId="2" fontId="1" numFmtId="166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5" fontId="6" numFmtId="0" xfId="0" applyAlignment="1" applyFill="1" applyFont="1">
      <alignment horizontal="center" readingOrder="0"/>
    </xf>
    <xf borderId="1" fillId="5" fontId="6" numFmtId="49" xfId="0" applyAlignment="1" applyBorder="1" applyFont="1" applyNumberFormat="1">
      <alignment horizontal="center" readingOrder="0"/>
    </xf>
    <xf borderId="1" fillId="5" fontId="6" numFmtId="166" xfId="0" applyAlignment="1" applyBorder="1" applyFont="1" applyNumberFormat="1">
      <alignment horizontal="center" readingOrder="0"/>
    </xf>
    <xf borderId="1" fillId="5" fontId="6" numFmtId="4" xfId="0" applyAlignment="1" applyBorder="1" applyFont="1" applyNumberFormat="1">
      <alignment horizontal="center" readingOrder="0"/>
    </xf>
    <xf borderId="1" fillId="5" fontId="7" numFmtId="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0" fillId="0" fontId="3" numFmtId="3" xfId="0" applyAlignment="1" applyFont="1" applyNumberFormat="1">
      <alignment horizontal="center" readingOrder="0"/>
    </xf>
    <xf borderId="0" fillId="5" fontId="6" numFmtId="0" xfId="0" applyAlignment="1" applyFont="1">
      <alignment horizontal="center" readingOrder="0" vertical="center"/>
    </xf>
    <xf borderId="0" fillId="0" fontId="8" numFmtId="0" xfId="0" applyAlignment="1" applyFont="1">
      <alignment horizontal="center" vertical="bottom"/>
    </xf>
    <xf borderId="0" fillId="0" fontId="8" numFmtId="4" xfId="0" applyAlignment="1" applyFont="1" applyNumberFormat="1">
      <alignment horizontal="center" vertical="bottom"/>
    </xf>
    <xf borderId="1" fillId="0" fontId="9" numFmtId="0" xfId="0" applyAlignment="1" applyBorder="1" applyFont="1">
      <alignment horizontal="center" readingOrder="0"/>
    </xf>
    <xf borderId="1" fillId="0" fontId="2" numFmtId="4" xfId="0" applyAlignment="1" applyBorder="1" applyFont="1" applyNumberFormat="1">
      <alignment horizontal="center" readingOrder="0"/>
    </xf>
    <xf borderId="1" fillId="5" fontId="6" numFmtId="0" xfId="0" applyAlignment="1" applyBorder="1" applyFont="1">
      <alignment horizontal="center" readingOrder="0"/>
    </xf>
    <xf borderId="0" fillId="0" fontId="3" numFmtId="4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1" fillId="4" fontId="10" numFmtId="166" xfId="0" applyAlignment="1" applyBorder="1" applyFont="1" applyNumberFormat="1">
      <alignment horizontal="center" readingOrder="0"/>
    </xf>
    <xf borderId="1" fillId="4" fontId="10" numFmtId="166" xfId="0" applyAlignment="1" applyBorder="1" applyFont="1" applyNumberFormat="1">
      <alignment horizontal="center"/>
    </xf>
    <xf borderId="1" fillId="4" fontId="10" numFmtId="4" xfId="0" applyAlignment="1" applyBorder="1" applyFont="1" applyNumberFormat="1">
      <alignment horizontal="center"/>
    </xf>
    <xf borderId="1" fillId="4" fontId="4" numFmtId="4" xfId="0" applyAlignment="1" applyBorder="1" applyFont="1" applyNumberFormat="1">
      <alignment horizontal="center"/>
    </xf>
    <xf borderId="1" fillId="4" fontId="3" numFmtId="0" xfId="0" applyAlignment="1" applyBorder="1" applyFont="1">
      <alignment horizontal="center"/>
    </xf>
    <xf borderId="0" fillId="2" fontId="11" numFmtId="167" xfId="0" applyAlignment="1" applyFont="1" applyNumberFormat="1">
      <alignment horizontal="center" readingOrder="0"/>
    </xf>
    <xf borderId="0" fillId="6" fontId="2" numFmtId="4" xfId="0" applyAlignment="1" applyFill="1" applyFont="1" applyNumberFormat="1">
      <alignment horizontal="center" readingOrder="0"/>
    </xf>
    <xf borderId="0" fillId="0" fontId="2" numFmtId="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10.75"/>
    <col customWidth="1" min="3" max="3" width="16.88"/>
    <col customWidth="1" min="4" max="5" width="11.25"/>
    <col customWidth="1" min="6" max="6" width="15.0"/>
    <col customWidth="1" min="7" max="8" width="4.5"/>
    <col customWidth="1" min="9" max="9" width="12.5"/>
    <col customWidth="1" min="10" max="10" width="13.25"/>
    <col customWidth="1" min="13" max="13" width="14.88"/>
    <col customWidth="1" min="14" max="14" width="4.5"/>
    <col customWidth="1" min="15" max="15" width="4.75"/>
  </cols>
  <sheetData>
    <row r="1">
      <c r="C1" s="1" t="s">
        <v>0</v>
      </c>
      <c r="H1" s="2"/>
      <c r="J1" s="1" t="s">
        <v>1</v>
      </c>
      <c r="Q1" s="2"/>
      <c r="R1" s="2"/>
      <c r="S1" s="2"/>
    </row>
    <row r="2">
      <c r="A2" s="3"/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H2" s="3"/>
      <c r="I2" s="4" t="s">
        <v>2</v>
      </c>
      <c r="J2" s="4" t="s">
        <v>3</v>
      </c>
      <c r="K2" s="4" t="s">
        <v>4</v>
      </c>
      <c r="L2" s="4" t="s">
        <v>5</v>
      </c>
      <c r="M2" s="4" t="s">
        <v>6</v>
      </c>
      <c r="P2" s="3"/>
      <c r="Q2" s="3"/>
      <c r="R2" s="3"/>
      <c r="S2" s="3"/>
      <c r="T2" s="3"/>
    </row>
    <row r="3">
      <c r="A3" s="5"/>
      <c r="B3" s="6"/>
      <c r="C3" s="7" t="s">
        <v>7</v>
      </c>
      <c r="F3" s="8"/>
      <c r="H3" s="9"/>
      <c r="I3" s="6"/>
      <c r="J3" s="8" t="s">
        <v>8</v>
      </c>
      <c r="K3" s="10">
        <v>26636.52</v>
      </c>
      <c r="L3" s="10">
        <v>26636.52</v>
      </c>
      <c r="M3" s="8"/>
      <c r="P3" s="5"/>
      <c r="Q3" s="9"/>
      <c r="R3" s="11"/>
      <c r="S3" s="11"/>
      <c r="T3" s="9"/>
    </row>
    <row r="4">
      <c r="A4" s="12"/>
      <c r="B4" s="6"/>
      <c r="C4" s="8"/>
      <c r="D4" s="10"/>
      <c r="E4" s="13"/>
      <c r="F4" s="8"/>
      <c r="H4" s="9"/>
      <c r="I4" s="6">
        <v>25235.0</v>
      </c>
      <c r="J4" s="8" t="s">
        <v>9</v>
      </c>
      <c r="K4" s="10">
        <v>-15000.0</v>
      </c>
      <c r="L4" s="10">
        <f t="shared" ref="L4:L131" si="1">L3+K4</f>
        <v>11636.52</v>
      </c>
      <c r="M4" s="8"/>
      <c r="P4" s="5"/>
      <c r="Q4" s="9"/>
      <c r="R4" s="11"/>
      <c r="S4" s="11"/>
      <c r="T4" s="9"/>
    </row>
    <row r="5">
      <c r="A5" s="12"/>
      <c r="B5" s="5"/>
      <c r="C5" s="9"/>
      <c r="D5" s="11"/>
      <c r="E5" s="12"/>
      <c r="F5" s="9"/>
      <c r="H5" s="9"/>
      <c r="I5" s="6"/>
      <c r="J5" s="8" t="s">
        <v>10</v>
      </c>
      <c r="K5" s="10">
        <v>30000.0</v>
      </c>
      <c r="L5" s="10">
        <f t="shared" si="1"/>
        <v>41636.52</v>
      </c>
      <c r="M5" s="8"/>
      <c r="P5" s="5"/>
      <c r="Q5" s="9"/>
      <c r="R5" s="11"/>
      <c r="S5" s="11"/>
      <c r="T5" s="9"/>
    </row>
    <row r="6">
      <c r="A6" s="12"/>
      <c r="B6" s="5"/>
      <c r="C6" s="9"/>
      <c r="D6" s="11"/>
      <c r="E6" s="12"/>
      <c r="F6" s="9"/>
      <c r="H6" s="9"/>
      <c r="I6" s="6"/>
      <c r="J6" s="8" t="s">
        <v>11</v>
      </c>
      <c r="K6" s="10">
        <v>-3000.0</v>
      </c>
      <c r="L6" s="10">
        <f t="shared" si="1"/>
        <v>38636.52</v>
      </c>
      <c r="M6" s="8"/>
      <c r="P6" s="5"/>
      <c r="Q6" s="9"/>
      <c r="R6" s="11"/>
      <c r="S6" s="11"/>
      <c r="T6" s="9"/>
    </row>
    <row r="7">
      <c r="A7" s="12"/>
      <c r="B7" s="5"/>
      <c r="C7" s="9"/>
      <c r="D7" s="11"/>
      <c r="E7" s="12"/>
      <c r="F7" s="9"/>
      <c r="H7" s="9"/>
      <c r="I7" s="6">
        <v>25236.0</v>
      </c>
      <c r="J7" s="8" t="s">
        <v>9</v>
      </c>
      <c r="K7" s="10">
        <v>-10000.0</v>
      </c>
      <c r="L7" s="10">
        <f t="shared" si="1"/>
        <v>28636.52</v>
      </c>
      <c r="M7" s="8"/>
      <c r="P7" s="5"/>
      <c r="Q7" s="9"/>
      <c r="R7" s="11"/>
      <c r="S7" s="11"/>
      <c r="T7" s="9"/>
    </row>
    <row r="8">
      <c r="A8" s="12"/>
      <c r="B8" s="5"/>
      <c r="C8" s="9"/>
      <c r="D8" s="11"/>
      <c r="E8" s="12"/>
      <c r="F8" s="9"/>
      <c r="H8" s="9"/>
      <c r="I8" s="6">
        <v>25237.0</v>
      </c>
      <c r="J8" s="8" t="s">
        <v>9</v>
      </c>
      <c r="K8" s="10">
        <v>-10000.0</v>
      </c>
      <c r="L8" s="10">
        <f t="shared" si="1"/>
        <v>18636.52</v>
      </c>
      <c r="M8" s="8"/>
      <c r="P8" s="5"/>
      <c r="Q8" s="9"/>
      <c r="R8" s="11"/>
      <c r="S8" s="11"/>
      <c r="T8" s="9"/>
    </row>
    <row r="9">
      <c r="A9" s="12"/>
      <c r="B9" s="5"/>
      <c r="C9" s="9"/>
      <c r="D9" s="11"/>
      <c r="E9" s="12"/>
      <c r="F9" s="9"/>
      <c r="H9" s="9"/>
      <c r="I9" s="6"/>
      <c r="J9" s="8" t="s">
        <v>10</v>
      </c>
      <c r="K9" s="10">
        <v>30000.0</v>
      </c>
      <c r="L9" s="10">
        <f t="shared" si="1"/>
        <v>48636.52</v>
      </c>
      <c r="M9" s="8"/>
      <c r="P9" s="5"/>
      <c r="Q9" s="9"/>
      <c r="R9" s="11"/>
      <c r="S9" s="11"/>
      <c r="T9" s="9"/>
    </row>
    <row r="10">
      <c r="A10" s="12"/>
      <c r="B10" s="5"/>
      <c r="C10" s="9"/>
      <c r="D10" s="11"/>
      <c r="E10" s="12"/>
      <c r="F10" s="9"/>
      <c r="H10" s="12"/>
      <c r="I10" s="6"/>
      <c r="J10" s="8" t="s">
        <v>11</v>
      </c>
      <c r="K10" s="10">
        <v>-4000.0</v>
      </c>
      <c r="L10" s="10">
        <f t="shared" si="1"/>
        <v>44636.52</v>
      </c>
      <c r="M10" s="8"/>
      <c r="P10" s="5"/>
      <c r="Q10" s="9"/>
      <c r="R10" s="11"/>
      <c r="S10" s="11"/>
      <c r="T10" s="9"/>
    </row>
    <row r="11">
      <c r="A11" s="12"/>
      <c r="B11" s="5"/>
      <c r="C11" s="9"/>
      <c r="D11" s="11"/>
      <c r="E11" s="12"/>
      <c r="F11" s="9"/>
      <c r="H11" s="12"/>
      <c r="I11" s="6">
        <v>25238.0</v>
      </c>
      <c r="J11" s="8" t="s">
        <v>9</v>
      </c>
      <c r="K11" s="10">
        <v>-10000.0</v>
      </c>
      <c r="L11" s="10">
        <f t="shared" si="1"/>
        <v>34636.52</v>
      </c>
      <c r="M11" s="8"/>
      <c r="P11" s="5"/>
      <c r="Q11" s="9"/>
      <c r="R11" s="11"/>
      <c r="S11" s="11"/>
      <c r="T11" s="9"/>
    </row>
    <row r="12">
      <c r="A12" s="12"/>
      <c r="B12" s="5"/>
      <c r="C12" s="9"/>
      <c r="D12" s="11"/>
      <c r="E12" s="12"/>
      <c r="F12" s="9"/>
      <c r="H12" s="12"/>
      <c r="I12" s="6"/>
      <c r="J12" s="8" t="s">
        <v>12</v>
      </c>
      <c r="K12" s="10">
        <v>-5500.0</v>
      </c>
      <c r="L12" s="10">
        <f t="shared" si="1"/>
        <v>29136.52</v>
      </c>
      <c r="M12" s="8"/>
      <c r="P12" s="5"/>
      <c r="Q12" s="9"/>
      <c r="R12" s="11"/>
      <c r="S12" s="11"/>
      <c r="T12" s="9"/>
    </row>
    <row r="13">
      <c r="A13" s="12"/>
      <c r="B13" s="5"/>
      <c r="C13" s="9"/>
      <c r="D13" s="11"/>
      <c r="E13" s="12"/>
      <c r="F13" s="9"/>
      <c r="H13" s="12"/>
      <c r="I13" s="6"/>
      <c r="J13" s="8" t="s">
        <v>11</v>
      </c>
      <c r="K13" s="10">
        <v>-4000.0</v>
      </c>
      <c r="L13" s="10">
        <f t="shared" si="1"/>
        <v>25136.52</v>
      </c>
      <c r="M13" s="8"/>
      <c r="P13" s="5"/>
      <c r="Q13" s="9"/>
      <c r="R13" s="11"/>
      <c r="S13" s="11"/>
      <c r="T13" s="9"/>
    </row>
    <row r="14">
      <c r="A14" s="12"/>
      <c r="B14" s="5"/>
      <c r="C14" s="9"/>
      <c r="D14" s="11"/>
      <c r="E14" s="12"/>
      <c r="F14" s="9"/>
      <c r="H14" s="12"/>
      <c r="I14" s="6">
        <v>25239.0</v>
      </c>
      <c r="J14" s="8" t="s">
        <v>13</v>
      </c>
      <c r="K14" s="10">
        <v>-5000.0</v>
      </c>
      <c r="L14" s="10">
        <f t="shared" si="1"/>
        <v>20136.52</v>
      </c>
      <c r="M14" s="8"/>
      <c r="P14" s="5"/>
      <c r="Q14" s="9"/>
      <c r="R14" s="11"/>
      <c r="S14" s="11"/>
      <c r="T14" s="9"/>
    </row>
    <row r="15">
      <c r="A15" s="12"/>
      <c r="B15" s="5"/>
      <c r="C15" s="9"/>
      <c r="D15" s="11"/>
      <c r="E15" s="12"/>
      <c r="F15" s="9"/>
      <c r="I15" s="6"/>
      <c r="J15" s="8" t="s">
        <v>10</v>
      </c>
      <c r="K15" s="10">
        <v>45000.0</v>
      </c>
      <c r="L15" s="10">
        <f t="shared" si="1"/>
        <v>65136.52</v>
      </c>
      <c r="M15" s="8"/>
      <c r="P15" s="5"/>
      <c r="Q15" s="9"/>
      <c r="R15" s="11"/>
      <c r="S15" s="11"/>
      <c r="T15" s="9"/>
    </row>
    <row r="16">
      <c r="A16" s="12"/>
      <c r="B16" s="5"/>
      <c r="C16" s="9"/>
      <c r="D16" s="11"/>
      <c r="E16" s="12"/>
      <c r="F16" s="9"/>
      <c r="I16" s="6"/>
      <c r="J16" s="8" t="s">
        <v>14</v>
      </c>
      <c r="K16" s="10">
        <v>-7500.0</v>
      </c>
      <c r="L16" s="10">
        <f t="shared" si="1"/>
        <v>57636.52</v>
      </c>
      <c r="M16" s="8"/>
      <c r="P16" s="5"/>
      <c r="Q16" s="9"/>
      <c r="R16" s="11"/>
      <c r="S16" s="11"/>
      <c r="T16" s="9"/>
    </row>
    <row r="17">
      <c r="A17" s="12"/>
      <c r="B17" s="5"/>
      <c r="C17" s="9"/>
      <c r="D17" s="11"/>
      <c r="E17" s="12"/>
      <c r="F17" s="9"/>
      <c r="I17" s="6"/>
      <c r="J17" s="8" t="s">
        <v>9</v>
      </c>
      <c r="K17" s="10">
        <v>-5000.0</v>
      </c>
      <c r="L17" s="10">
        <f t="shared" si="1"/>
        <v>52636.52</v>
      </c>
      <c r="M17" s="8"/>
      <c r="P17" s="5"/>
      <c r="Q17" s="9"/>
      <c r="R17" s="11"/>
      <c r="S17" s="11"/>
      <c r="T17" s="9"/>
    </row>
    <row r="18">
      <c r="A18" s="12"/>
      <c r="B18" s="5"/>
      <c r="C18" s="9"/>
      <c r="D18" s="11"/>
      <c r="E18" s="12"/>
      <c r="F18" s="9"/>
      <c r="I18" s="6"/>
      <c r="J18" s="8" t="s">
        <v>15</v>
      </c>
      <c r="K18" s="10">
        <v>-1282.93</v>
      </c>
      <c r="L18" s="10">
        <f t="shared" si="1"/>
        <v>51353.59</v>
      </c>
      <c r="M18" s="8"/>
      <c r="P18" s="5"/>
      <c r="Q18" s="9"/>
      <c r="R18" s="11"/>
      <c r="S18" s="11"/>
      <c r="T18" s="9"/>
    </row>
    <row r="19">
      <c r="A19" s="12"/>
      <c r="B19" s="5"/>
      <c r="C19" s="9"/>
      <c r="D19" s="11"/>
      <c r="E19" s="12"/>
      <c r="F19" s="9"/>
      <c r="I19" s="6"/>
      <c r="J19" s="8" t="s">
        <v>16</v>
      </c>
      <c r="K19" s="10">
        <v>-276.0</v>
      </c>
      <c r="L19" s="10">
        <f t="shared" si="1"/>
        <v>51077.59</v>
      </c>
      <c r="M19" s="8"/>
      <c r="P19" s="5"/>
      <c r="Q19" s="9"/>
      <c r="R19" s="11"/>
      <c r="S19" s="11"/>
      <c r="T19" s="9"/>
    </row>
    <row r="20">
      <c r="A20" s="12"/>
      <c r="B20" s="5"/>
      <c r="C20" s="9"/>
      <c r="D20" s="11"/>
      <c r="E20" s="12"/>
      <c r="F20" s="9"/>
      <c r="I20" s="14"/>
      <c r="J20" s="8" t="s">
        <v>17</v>
      </c>
      <c r="K20" s="10">
        <v>-1587.86</v>
      </c>
      <c r="L20" s="10">
        <f t="shared" si="1"/>
        <v>49489.73</v>
      </c>
      <c r="M20" s="8"/>
      <c r="P20" s="15"/>
      <c r="Q20" s="9"/>
      <c r="R20" s="11"/>
      <c r="S20" s="11"/>
      <c r="T20" s="9"/>
    </row>
    <row r="21">
      <c r="A21" s="12"/>
      <c r="B21" s="5"/>
      <c r="C21" s="9"/>
      <c r="D21" s="11"/>
      <c r="E21" s="12"/>
      <c r="F21" s="9"/>
      <c r="I21" s="6">
        <v>25240.0</v>
      </c>
      <c r="J21" s="8" t="s">
        <v>11</v>
      </c>
      <c r="K21" s="10">
        <v>-4000.0</v>
      </c>
      <c r="L21" s="10">
        <f t="shared" si="1"/>
        <v>45489.73</v>
      </c>
      <c r="M21" s="8"/>
      <c r="P21" s="5"/>
      <c r="Q21" s="9"/>
      <c r="R21" s="11"/>
      <c r="S21" s="11"/>
      <c r="T21" s="9"/>
    </row>
    <row r="22">
      <c r="A22" s="12"/>
      <c r="B22" s="5"/>
      <c r="C22" s="9"/>
      <c r="D22" s="11"/>
      <c r="E22" s="12"/>
      <c r="F22" s="9"/>
      <c r="I22" s="14"/>
      <c r="J22" s="8" t="s">
        <v>9</v>
      </c>
      <c r="K22" s="10">
        <v>-10000.0</v>
      </c>
      <c r="L22" s="10">
        <f t="shared" si="1"/>
        <v>35489.73</v>
      </c>
      <c r="M22" s="8"/>
      <c r="P22" s="15"/>
      <c r="Q22" s="9"/>
      <c r="R22" s="11"/>
      <c r="S22" s="11"/>
      <c r="T22" s="9"/>
    </row>
    <row r="23">
      <c r="A23" s="12"/>
      <c r="B23" s="5"/>
      <c r="C23" s="9"/>
      <c r="D23" s="11"/>
      <c r="E23" s="12"/>
      <c r="F23" s="9"/>
      <c r="I23" s="6"/>
      <c r="J23" s="8" t="s">
        <v>18</v>
      </c>
      <c r="K23" s="10">
        <v>-1600.0</v>
      </c>
      <c r="L23" s="10">
        <f t="shared" si="1"/>
        <v>33889.73</v>
      </c>
      <c r="M23" s="8"/>
      <c r="P23" s="5"/>
      <c r="Q23" s="9"/>
      <c r="R23" s="11"/>
      <c r="S23" s="11"/>
      <c r="T23" s="9"/>
    </row>
    <row r="24">
      <c r="A24" s="12"/>
      <c r="B24" s="9"/>
      <c r="E24" s="12"/>
      <c r="F24" s="9"/>
      <c r="I24" s="14">
        <v>25241.0</v>
      </c>
      <c r="J24" s="8" t="s">
        <v>9</v>
      </c>
      <c r="K24" s="10">
        <v>-10000.0</v>
      </c>
      <c r="L24" s="10">
        <f t="shared" si="1"/>
        <v>23889.73</v>
      </c>
      <c r="M24" s="8"/>
      <c r="P24" s="15"/>
      <c r="Q24" s="9"/>
      <c r="R24" s="11"/>
      <c r="S24" s="11"/>
      <c r="T24" s="9"/>
    </row>
    <row r="25">
      <c r="A25" s="12"/>
      <c r="B25" s="5"/>
      <c r="C25" s="9"/>
      <c r="D25" s="11"/>
      <c r="E25" s="12"/>
      <c r="F25" s="9"/>
      <c r="I25" s="6"/>
      <c r="J25" s="8" t="s">
        <v>11</v>
      </c>
      <c r="K25" s="10">
        <v>-4000.0</v>
      </c>
      <c r="L25" s="10">
        <f t="shared" si="1"/>
        <v>19889.73</v>
      </c>
      <c r="M25" s="8"/>
      <c r="P25" s="5"/>
      <c r="Q25" s="9"/>
      <c r="R25" s="11"/>
      <c r="S25" s="11"/>
      <c r="T25" s="9"/>
    </row>
    <row r="26">
      <c r="A26" s="12"/>
      <c r="B26" s="5"/>
      <c r="C26" s="9"/>
      <c r="D26" s="11"/>
      <c r="E26" s="12"/>
      <c r="F26" s="9"/>
      <c r="I26" s="14"/>
      <c r="J26" s="8" t="s">
        <v>13</v>
      </c>
      <c r="K26" s="10">
        <v>-2000.0</v>
      </c>
      <c r="L26" s="10">
        <f t="shared" si="1"/>
        <v>17889.73</v>
      </c>
      <c r="M26" s="8"/>
      <c r="P26" s="15"/>
      <c r="Q26" s="9"/>
      <c r="R26" s="11"/>
      <c r="S26" s="11"/>
      <c r="T26" s="9"/>
    </row>
    <row r="27">
      <c r="A27" s="12"/>
      <c r="B27" s="5"/>
      <c r="C27" s="9"/>
      <c r="D27" s="11"/>
      <c r="E27" s="12"/>
      <c r="F27" s="9"/>
      <c r="I27" s="6">
        <v>25242.0</v>
      </c>
      <c r="J27" s="8" t="s">
        <v>10</v>
      </c>
      <c r="K27" s="10">
        <v>45000.0</v>
      </c>
      <c r="L27" s="10">
        <f t="shared" si="1"/>
        <v>62889.73</v>
      </c>
      <c r="M27" s="8"/>
      <c r="P27" s="5"/>
      <c r="Q27" s="9"/>
      <c r="R27" s="11"/>
      <c r="S27" s="11"/>
      <c r="T27" s="9"/>
    </row>
    <row r="28">
      <c r="A28" s="12"/>
      <c r="B28" s="5"/>
      <c r="C28" s="9"/>
      <c r="D28" s="11"/>
      <c r="E28" s="12"/>
      <c r="F28" s="9"/>
      <c r="I28" s="14"/>
      <c r="J28" s="8" t="s">
        <v>19</v>
      </c>
      <c r="K28" s="10">
        <v>-1104.0</v>
      </c>
      <c r="L28" s="10">
        <f t="shared" si="1"/>
        <v>61785.73</v>
      </c>
      <c r="M28" s="8"/>
      <c r="P28" s="15"/>
      <c r="Q28" s="9"/>
      <c r="R28" s="11"/>
      <c r="S28" s="11"/>
      <c r="T28" s="9"/>
    </row>
    <row r="29">
      <c r="B29" s="5"/>
      <c r="C29" s="9"/>
      <c r="D29" s="11"/>
      <c r="E29" s="12"/>
      <c r="F29" s="9"/>
      <c r="I29" s="6"/>
      <c r="J29" s="8" t="s">
        <v>9</v>
      </c>
      <c r="K29" s="10">
        <v>-5000.0</v>
      </c>
      <c r="L29" s="10">
        <f t="shared" si="1"/>
        <v>56785.73</v>
      </c>
      <c r="M29" s="8"/>
      <c r="P29" s="5"/>
      <c r="Q29" s="9"/>
      <c r="R29" s="11"/>
      <c r="S29" s="11"/>
      <c r="T29" s="9"/>
    </row>
    <row r="30">
      <c r="B30" s="5"/>
      <c r="C30" s="9"/>
      <c r="D30" s="11"/>
      <c r="E30" s="12"/>
      <c r="F30" s="9"/>
      <c r="I30" s="6">
        <v>25243.0</v>
      </c>
      <c r="J30" s="8" t="s">
        <v>9</v>
      </c>
      <c r="K30" s="10">
        <v>-15000.0</v>
      </c>
      <c r="L30" s="10">
        <f t="shared" si="1"/>
        <v>41785.73</v>
      </c>
      <c r="M30" s="8"/>
      <c r="P30" s="15"/>
      <c r="Q30" s="9"/>
      <c r="R30" s="11"/>
      <c r="S30" s="11"/>
      <c r="T30" s="9"/>
    </row>
    <row r="31">
      <c r="B31" s="5"/>
      <c r="C31" s="9"/>
      <c r="D31" s="11"/>
      <c r="E31" s="12"/>
      <c r="F31" s="9"/>
      <c r="I31" s="6"/>
      <c r="J31" s="8" t="s">
        <v>11</v>
      </c>
      <c r="K31" s="10">
        <v>-4000.0</v>
      </c>
      <c r="L31" s="10">
        <f t="shared" si="1"/>
        <v>37785.73</v>
      </c>
      <c r="M31" s="8"/>
      <c r="P31" s="5"/>
      <c r="Q31" s="9"/>
      <c r="R31" s="11"/>
      <c r="S31" s="11"/>
      <c r="T31" s="9"/>
    </row>
    <row r="32">
      <c r="B32" s="5"/>
      <c r="C32" s="9"/>
      <c r="D32" s="11"/>
      <c r="E32" s="12"/>
      <c r="F32" s="9"/>
      <c r="I32" s="14"/>
      <c r="J32" s="8" t="s">
        <v>13</v>
      </c>
      <c r="K32" s="10">
        <v>-5000.0</v>
      </c>
      <c r="L32" s="10">
        <f t="shared" si="1"/>
        <v>32785.73</v>
      </c>
      <c r="M32" s="8"/>
      <c r="P32" s="15"/>
      <c r="Q32" s="9"/>
      <c r="R32" s="11"/>
      <c r="S32" s="11"/>
      <c r="T32" s="9"/>
    </row>
    <row r="33">
      <c r="B33" s="5"/>
      <c r="C33" s="9"/>
      <c r="D33" s="11"/>
      <c r="E33" s="12"/>
      <c r="F33" s="9"/>
      <c r="I33" s="6">
        <v>25244.0</v>
      </c>
      <c r="J33" s="8" t="s">
        <v>11</v>
      </c>
      <c r="K33" s="10">
        <v>-4000.0</v>
      </c>
      <c r="L33" s="10">
        <f t="shared" si="1"/>
        <v>28785.73</v>
      </c>
      <c r="M33" s="8"/>
      <c r="P33" s="5"/>
      <c r="Q33" s="9"/>
      <c r="R33" s="11"/>
      <c r="S33" s="11"/>
      <c r="T33" s="9"/>
    </row>
    <row r="34">
      <c r="B34" s="5"/>
      <c r="C34" s="9"/>
      <c r="D34" s="11"/>
      <c r="E34" s="12"/>
      <c r="F34" s="9"/>
      <c r="I34" s="14"/>
      <c r="J34" s="8" t="s">
        <v>9</v>
      </c>
      <c r="K34" s="10">
        <v>-10000.0</v>
      </c>
      <c r="L34" s="10">
        <f t="shared" si="1"/>
        <v>18785.73</v>
      </c>
      <c r="M34" s="8"/>
      <c r="P34" s="15"/>
      <c r="Q34" s="9"/>
      <c r="R34" s="11"/>
      <c r="S34" s="11"/>
      <c r="T34" s="9"/>
    </row>
    <row r="35">
      <c r="B35" s="5"/>
      <c r="C35" s="9"/>
      <c r="D35" s="11"/>
      <c r="E35" s="12"/>
      <c r="F35" s="9"/>
      <c r="I35" s="6"/>
      <c r="J35" s="8" t="s">
        <v>13</v>
      </c>
      <c r="K35" s="10">
        <v>-5000.0</v>
      </c>
      <c r="L35" s="10">
        <f t="shared" si="1"/>
        <v>13785.73</v>
      </c>
      <c r="M35" s="8"/>
      <c r="P35" s="5"/>
      <c r="Q35" s="9"/>
      <c r="R35" s="11"/>
      <c r="S35" s="11"/>
      <c r="T35" s="9"/>
    </row>
    <row r="36">
      <c r="B36" s="5"/>
      <c r="C36" s="9"/>
      <c r="D36" s="11"/>
      <c r="E36" s="12"/>
      <c r="F36" s="9"/>
      <c r="I36" s="6"/>
      <c r="J36" s="8" t="s">
        <v>10</v>
      </c>
      <c r="K36" s="10">
        <v>49000.0</v>
      </c>
      <c r="L36" s="10">
        <f t="shared" si="1"/>
        <v>62785.73</v>
      </c>
      <c r="M36" s="8"/>
      <c r="P36" s="5"/>
      <c r="Q36" s="9"/>
      <c r="R36" s="11"/>
      <c r="S36" s="11"/>
      <c r="T36" s="9"/>
    </row>
    <row r="37">
      <c r="B37" s="5"/>
      <c r="C37" s="9"/>
      <c r="D37" s="11"/>
      <c r="E37" s="12"/>
      <c r="F37" s="9"/>
      <c r="I37" s="14">
        <v>25245.0</v>
      </c>
      <c r="J37" s="8" t="s">
        <v>9</v>
      </c>
      <c r="K37" s="10">
        <v>-15000.0</v>
      </c>
      <c r="L37" s="10">
        <f t="shared" si="1"/>
        <v>47785.73</v>
      </c>
      <c r="M37" s="8"/>
      <c r="P37" s="15"/>
      <c r="Q37" s="9"/>
      <c r="R37" s="11"/>
      <c r="S37" s="11"/>
      <c r="T37" s="9"/>
    </row>
    <row r="38">
      <c r="B38" s="5"/>
      <c r="C38" s="9"/>
      <c r="D38" s="11"/>
      <c r="E38" s="12"/>
      <c r="F38" s="9"/>
      <c r="I38" s="6"/>
      <c r="J38" s="8" t="s">
        <v>13</v>
      </c>
      <c r="K38" s="10">
        <v>-5000.0</v>
      </c>
      <c r="L38" s="10">
        <f t="shared" si="1"/>
        <v>42785.73</v>
      </c>
      <c r="M38" s="8"/>
      <c r="P38" s="5"/>
      <c r="Q38" s="9"/>
      <c r="R38" s="11"/>
      <c r="S38" s="11"/>
      <c r="T38" s="9"/>
    </row>
    <row r="39">
      <c r="B39" s="5"/>
      <c r="C39" s="9"/>
      <c r="D39" s="11"/>
      <c r="E39" s="12"/>
      <c r="F39" s="9"/>
      <c r="I39" s="13"/>
      <c r="J39" s="8" t="s">
        <v>20</v>
      </c>
      <c r="K39" s="10">
        <f>631+1439</f>
        <v>2070</v>
      </c>
      <c r="L39" s="10">
        <f t="shared" si="1"/>
        <v>44855.73</v>
      </c>
      <c r="M39" s="8"/>
      <c r="P39" s="12"/>
      <c r="Q39" s="9"/>
      <c r="R39" s="11"/>
      <c r="S39" s="11"/>
      <c r="T39" s="9"/>
    </row>
    <row r="40">
      <c r="B40" s="5"/>
      <c r="C40" s="9"/>
      <c r="D40" s="11"/>
      <c r="E40" s="12"/>
      <c r="F40" s="9"/>
      <c r="I40" s="6"/>
      <c r="J40" s="8" t="s">
        <v>11</v>
      </c>
      <c r="K40" s="10">
        <v>-4000.0</v>
      </c>
      <c r="L40" s="10">
        <f t="shared" si="1"/>
        <v>40855.73</v>
      </c>
      <c r="M40" s="8"/>
      <c r="P40" s="5"/>
      <c r="Q40" s="9"/>
      <c r="R40" s="11"/>
      <c r="S40" s="11"/>
      <c r="T40" s="9"/>
    </row>
    <row r="41">
      <c r="B41" s="5"/>
      <c r="C41" s="9"/>
      <c r="D41" s="11"/>
      <c r="E41" s="12"/>
      <c r="F41" s="9"/>
      <c r="I41" s="6">
        <v>25246.0</v>
      </c>
      <c r="J41" s="8" t="s">
        <v>9</v>
      </c>
      <c r="K41" s="10">
        <v>-15000.0</v>
      </c>
      <c r="L41" s="10">
        <f t="shared" si="1"/>
        <v>25855.73</v>
      </c>
      <c r="M41" s="8"/>
      <c r="P41" s="12"/>
      <c r="Q41" s="9"/>
      <c r="R41" s="11"/>
      <c r="S41" s="11"/>
      <c r="T41" s="9"/>
    </row>
    <row r="42">
      <c r="B42" s="5"/>
      <c r="C42" s="9"/>
      <c r="D42" s="11"/>
      <c r="E42" s="12"/>
      <c r="F42" s="9"/>
      <c r="I42" s="6"/>
      <c r="J42" s="8" t="s">
        <v>13</v>
      </c>
      <c r="K42" s="10">
        <v>-4000.0</v>
      </c>
      <c r="L42" s="10">
        <f t="shared" si="1"/>
        <v>21855.73</v>
      </c>
      <c r="M42" s="8"/>
      <c r="P42" s="15"/>
      <c r="Q42" s="9"/>
      <c r="R42" s="11"/>
      <c r="S42" s="11"/>
      <c r="T42" s="9"/>
    </row>
    <row r="43">
      <c r="B43" s="5"/>
      <c r="C43" s="9"/>
      <c r="D43" s="11"/>
      <c r="E43" s="12"/>
      <c r="F43" s="9"/>
      <c r="I43" s="6"/>
      <c r="J43" s="8" t="s">
        <v>10</v>
      </c>
      <c r="K43" s="10">
        <v>49000.0</v>
      </c>
      <c r="L43" s="10">
        <f t="shared" si="1"/>
        <v>70855.73</v>
      </c>
      <c r="M43" s="8"/>
      <c r="P43" s="12"/>
      <c r="Q43" s="9"/>
      <c r="R43" s="11"/>
      <c r="S43" s="11"/>
      <c r="T43" s="9"/>
    </row>
    <row r="44">
      <c r="B44" s="5"/>
      <c r="C44" s="9"/>
      <c r="D44" s="11"/>
      <c r="E44" s="12"/>
      <c r="F44" s="9"/>
      <c r="I44" s="6">
        <v>25247.0</v>
      </c>
      <c r="J44" s="8" t="s">
        <v>11</v>
      </c>
      <c r="K44" s="10">
        <v>-4000.0</v>
      </c>
      <c r="L44" s="10">
        <f t="shared" si="1"/>
        <v>66855.73</v>
      </c>
      <c r="M44" s="8"/>
      <c r="P44" s="15"/>
      <c r="Q44" s="9"/>
      <c r="R44" s="11"/>
      <c r="S44" s="11"/>
      <c r="T44" s="9"/>
    </row>
    <row r="45">
      <c r="B45" s="5"/>
      <c r="C45" s="9"/>
      <c r="D45" s="11"/>
      <c r="E45" s="12"/>
      <c r="F45" s="9"/>
      <c r="I45" s="6"/>
      <c r="J45" s="8" t="s">
        <v>9</v>
      </c>
      <c r="K45" s="10">
        <v>-20000.0</v>
      </c>
      <c r="L45" s="10">
        <f t="shared" si="1"/>
        <v>46855.73</v>
      </c>
      <c r="M45" s="8"/>
      <c r="P45" s="12"/>
      <c r="Q45" s="9"/>
      <c r="R45" s="11"/>
      <c r="S45" s="11"/>
      <c r="T45" s="9"/>
    </row>
    <row r="46">
      <c r="B46" s="5"/>
      <c r="C46" s="9"/>
      <c r="D46" s="11"/>
      <c r="E46" s="12"/>
      <c r="F46" s="9"/>
      <c r="I46" s="14"/>
      <c r="J46" s="8" t="s">
        <v>13</v>
      </c>
      <c r="K46" s="10">
        <v>-4000.0</v>
      </c>
      <c r="L46" s="10">
        <f t="shared" si="1"/>
        <v>42855.73</v>
      </c>
      <c r="M46" s="8"/>
      <c r="P46" s="12"/>
      <c r="Q46" s="9"/>
      <c r="R46" s="11"/>
      <c r="S46" s="11"/>
      <c r="T46" s="9"/>
    </row>
    <row r="47">
      <c r="B47" s="5"/>
      <c r="C47" s="9"/>
      <c r="D47" s="11"/>
      <c r="E47" s="12"/>
      <c r="F47" s="9"/>
      <c r="I47" s="6">
        <v>25248.0</v>
      </c>
      <c r="J47" s="8" t="s">
        <v>9</v>
      </c>
      <c r="K47" s="10">
        <v>-20000.0</v>
      </c>
      <c r="L47" s="10">
        <f t="shared" si="1"/>
        <v>22855.73</v>
      </c>
      <c r="M47" s="8"/>
      <c r="P47" s="12"/>
      <c r="Q47" s="9"/>
      <c r="R47" s="11"/>
      <c r="S47" s="11"/>
      <c r="T47" s="9"/>
    </row>
    <row r="48">
      <c r="B48" s="5"/>
      <c r="C48" s="9"/>
      <c r="D48" s="11"/>
      <c r="E48" s="12"/>
      <c r="F48" s="9"/>
      <c r="I48" s="14"/>
      <c r="J48" s="8" t="s">
        <v>13</v>
      </c>
      <c r="K48" s="10">
        <v>-4000.0</v>
      </c>
      <c r="L48" s="10">
        <f t="shared" si="1"/>
        <v>18855.73</v>
      </c>
      <c r="M48" s="8"/>
    </row>
    <row r="49">
      <c r="B49" s="5"/>
      <c r="C49" s="9"/>
      <c r="D49" s="11"/>
      <c r="E49" s="12"/>
      <c r="F49" s="9"/>
      <c r="I49" s="6"/>
      <c r="J49" s="8" t="s">
        <v>10</v>
      </c>
      <c r="K49" s="10">
        <v>48000.0</v>
      </c>
      <c r="L49" s="10">
        <f t="shared" si="1"/>
        <v>66855.73</v>
      </c>
      <c r="M49" s="8"/>
    </row>
    <row r="50">
      <c r="B50" s="5"/>
      <c r="C50" s="9"/>
      <c r="D50" s="11"/>
      <c r="E50" s="12"/>
      <c r="F50" s="9"/>
      <c r="I50" s="6">
        <v>25249.0</v>
      </c>
      <c r="J50" s="8" t="s">
        <v>13</v>
      </c>
      <c r="K50" s="10">
        <v>-4000.0</v>
      </c>
      <c r="L50" s="10">
        <f t="shared" si="1"/>
        <v>62855.73</v>
      </c>
      <c r="M50" s="8"/>
    </row>
    <row r="51">
      <c r="B51" s="5"/>
      <c r="C51" s="9"/>
      <c r="D51" s="11"/>
      <c r="E51" s="12"/>
      <c r="F51" s="9"/>
      <c r="I51" s="6"/>
      <c r="J51" s="8" t="s">
        <v>11</v>
      </c>
      <c r="K51" s="10">
        <v>-4000.0</v>
      </c>
      <c r="L51" s="10">
        <f t="shared" si="1"/>
        <v>58855.73</v>
      </c>
      <c r="M51" s="8"/>
    </row>
    <row r="52">
      <c r="B52" s="5"/>
      <c r="C52" s="9"/>
      <c r="D52" s="11"/>
      <c r="E52" s="12"/>
      <c r="F52" s="9"/>
      <c r="I52" s="14"/>
      <c r="J52" s="8" t="s">
        <v>9</v>
      </c>
      <c r="K52" s="10">
        <v>-15000.0</v>
      </c>
      <c r="L52" s="10">
        <f t="shared" si="1"/>
        <v>43855.73</v>
      </c>
      <c r="M52" s="8"/>
    </row>
    <row r="53">
      <c r="B53" s="5"/>
      <c r="C53" s="9"/>
      <c r="D53" s="11"/>
      <c r="E53" s="12"/>
      <c r="F53" s="9"/>
      <c r="I53" s="6"/>
      <c r="J53" s="8" t="s">
        <v>21</v>
      </c>
      <c r="K53" s="10">
        <v>-15000.0</v>
      </c>
      <c r="L53" s="10">
        <f t="shared" si="1"/>
        <v>28855.73</v>
      </c>
      <c r="M53" s="8"/>
    </row>
    <row r="54">
      <c r="B54" s="5"/>
      <c r="C54" s="9"/>
      <c r="D54" s="11"/>
      <c r="E54" s="12"/>
      <c r="F54" s="9"/>
      <c r="I54" s="14"/>
      <c r="J54" s="8" t="s">
        <v>10</v>
      </c>
      <c r="K54" s="10">
        <v>28000.0</v>
      </c>
      <c r="L54" s="10">
        <f t="shared" si="1"/>
        <v>56855.73</v>
      </c>
      <c r="M54" s="8"/>
    </row>
    <row r="55">
      <c r="B55" s="5"/>
      <c r="C55" s="9"/>
      <c r="D55" s="11"/>
      <c r="E55" s="12"/>
      <c r="F55" s="9"/>
      <c r="I55" s="6"/>
      <c r="J55" s="8" t="s">
        <v>22</v>
      </c>
      <c r="K55" s="10">
        <v>-7500.0</v>
      </c>
      <c r="L55" s="10">
        <f t="shared" si="1"/>
        <v>49355.73</v>
      </c>
      <c r="M55" s="8"/>
    </row>
    <row r="56">
      <c r="B56" s="5"/>
      <c r="C56" s="9"/>
      <c r="D56" s="11"/>
      <c r="E56" s="12"/>
      <c r="F56" s="9"/>
      <c r="I56" s="13"/>
      <c r="J56" s="8" t="s">
        <v>23</v>
      </c>
      <c r="K56" s="10">
        <v>-1170.0</v>
      </c>
      <c r="L56" s="10">
        <f t="shared" si="1"/>
        <v>48185.73</v>
      </c>
      <c r="M56" s="8"/>
    </row>
    <row r="57">
      <c r="B57" s="5"/>
      <c r="C57" s="9"/>
      <c r="D57" s="11"/>
      <c r="E57" s="12"/>
      <c r="F57" s="9"/>
      <c r="I57" s="13"/>
      <c r="J57" s="8" t="s">
        <v>24</v>
      </c>
      <c r="K57" s="10">
        <v>-337.0</v>
      </c>
      <c r="L57" s="10">
        <f t="shared" si="1"/>
        <v>47848.73</v>
      </c>
      <c r="M57" s="8"/>
    </row>
    <row r="58">
      <c r="B58" s="5"/>
      <c r="C58" s="9"/>
      <c r="D58" s="11"/>
      <c r="E58" s="12"/>
      <c r="F58" s="9"/>
      <c r="I58" s="6">
        <v>25250.0</v>
      </c>
      <c r="J58" s="8" t="s">
        <v>13</v>
      </c>
      <c r="K58" s="10">
        <v>-6000.0</v>
      </c>
      <c r="L58" s="10">
        <f t="shared" si="1"/>
        <v>41848.73</v>
      </c>
      <c r="M58" s="8"/>
    </row>
    <row r="59">
      <c r="B59" s="5"/>
      <c r="C59" s="9"/>
      <c r="D59" s="11"/>
      <c r="E59" s="12"/>
      <c r="F59" s="9"/>
      <c r="I59" s="13"/>
      <c r="J59" s="8" t="s">
        <v>9</v>
      </c>
      <c r="K59" s="10">
        <v>-15000.0</v>
      </c>
      <c r="L59" s="10">
        <f t="shared" si="1"/>
        <v>26848.73</v>
      </c>
      <c r="M59" s="8"/>
    </row>
    <row r="60">
      <c r="B60" s="5"/>
      <c r="C60" s="9"/>
      <c r="D60" s="11"/>
      <c r="E60" s="12"/>
      <c r="F60" s="9"/>
      <c r="I60" s="14"/>
      <c r="J60" s="8" t="s">
        <v>11</v>
      </c>
      <c r="K60" s="10">
        <v>-5000.0</v>
      </c>
      <c r="L60" s="10">
        <f t="shared" si="1"/>
        <v>21848.73</v>
      </c>
      <c r="M60" s="8"/>
    </row>
    <row r="61">
      <c r="B61" s="5"/>
      <c r="C61" s="9"/>
      <c r="D61" s="11"/>
      <c r="E61" s="12"/>
      <c r="F61" s="9"/>
      <c r="I61" s="13"/>
      <c r="J61" s="8" t="s">
        <v>10</v>
      </c>
      <c r="K61" s="10">
        <v>28000.0</v>
      </c>
      <c r="L61" s="10">
        <f t="shared" si="1"/>
        <v>49848.73</v>
      </c>
      <c r="M61" s="8"/>
    </row>
    <row r="62">
      <c r="B62" s="5"/>
      <c r="C62" s="9"/>
      <c r="D62" s="11"/>
      <c r="E62" s="12"/>
      <c r="F62" s="9"/>
      <c r="I62" s="13"/>
      <c r="J62" s="8"/>
      <c r="K62" s="10"/>
      <c r="L62" s="10">
        <f t="shared" si="1"/>
        <v>49848.73</v>
      </c>
      <c r="M62" s="8"/>
    </row>
    <row r="63">
      <c r="B63" s="5"/>
      <c r="C63" s="9"/>
      <c r="D63" s="11"/>
      <c r="E63" s="12"/>
      <c r="F63" s="9"/>
      <c r="I63" s="13"/>
      <c r="J63" s="8"/>
      <c r="K63" s="10"/>
      <c r="L63" s="10">
        <f t="shared" si="1"/>
        <v>49848.73</v>
      </c>
      <c r="M63" s="8"/>
    </row>
    <row r="64">
      <c r="B64" s="5"/>
      <c r="C64" s="9"/>
      <c r="D64" s="11"/>
      <c r="E64" s="12"/>
      <c r="F64" s="9"/>
      <c r="I64" s="13"/>
      <c r="J64" s="8"/>
      <c r="K64" s="10"/>
      <c r="L64" s="10">
        <f t="shared" si="1"/>
        <v>49848.73</v>
      </c>
      <c r="M64" s="8"/>
    </row>
    <row r="65">
      <c r="B65" s="5"/>
      <c r="C65" s="9"/>
      <c r="D65" s="11"/>
      <c r="E65" s="12"/>
      <c r="F65" s="9"/>
      <c r="I65" s="14"/>
      <c r="J65" s="8"/>
      <c r="K65" s="10"/>
      <c r="L65" s="10">
        <f t="shared" si="1"/>
        <v>49848.73</v>
      </c>
      <c r="M65" s="8"/>
    </row>
    <row r="66">
      <c r="B66" s="5"/>
      <c r="C66" s="9"/>
      <c r="D66" s="11"/>
      <c r="E66" s="12"/>
      <c r="F66" s="9"/>
      <c r="I66" s="13"/>
      <c r="J66" s="8"/>
      <c r="K66" s="10"/>
      <c r="L66" s="10">
        <f t="shared" si="1"/>
        <v>49848.73</v>
      </c>
      <c r="M66" s="8"/>
    </row>
    <row r="67">
      <c r="B67" s="5"/>
      <c r="C67" s="9"/>
      <c r="D67" s="11"/>
      <c r="E67" s="12"/>
      <c r="F67" s="9"/>
      <c r="I67" s="13"/>
      <c r="J67" s="8"/>
      <c r="K67" s="10"/>
      <c r="L67" s="10">
        <f t="shared" si="1"/>
        <v>49848.73</v>
      </c>
      <c r="M67" s="8"/>
    </row>
    <row r="68">
      <c r="B68" s="5"/>
      <c r="C68" s="9"/>
      <c r="D68" s="11"/>
      <c r="E68" s="12"/>
      <c r="F68" s="9"/>
      <c r="I68" s="13"/>
      <c r="J68" s="8"/>
      <c r="K68" s="10"/>
      <c r="L68" s="10">
        <f t="shared" si="1"/>
        <v>49848.73</v>
      </c>
      <c r="M68" s="8"/>
    </row>
    <row r="69">
      <c r="B69" s="5"/>
      <c r="C69" s="9"/>
      <c r="D69" s="11"/>
      <c r="E69" s="12"/>
      <c r="F69" s="9"/>
      <c r="I69" s="14"/>
      <c r="J69" s="8"/>
      <c r="K69" s="10"/>
      <c r="L69" s="10">
        <f t="shared" si="1"/>
        <v>49848.73</v>
      </c>
      <c r="M69" s="8"/>
    </row>
    <row r="70">
      <c r="B70" s="5"/>
      <c r="C70" s="9"/>
      <c r="D70" s="11"/>
      <c r="E70" s="12"/>
      <c r="F70" s="9"/>
      <c r="I70" s="13"/>
      <c r="J70" s="8"/>
      <c r="K70" s="10"/>
      <c r="L70" s="10">
        <f t="shared" si="1"/>
        <v>49848.73</v>
      </c>
      <c r="M70" s="8"/>
    </row>
    <row r="71">
      <c r="B71" s="5"/>
      <c r="C71" s="9"/>
      <c r="D71" s="11"/>
      <c r="E71" s="12"/>
      <c r="F71" s="9"/>
      <c r="I71" s="14"/>
      <c r="J71" s="8"/>
      <c r="K71" s="10"/>
      <c r="L71" s="10">
        <f t="shared" si="1"/>
        <v>49848.73</v>
      </c>
      <c r="M71" s="8"/>
    </row>
    <row r="72">
      <c r="I72" s="13"/>
      <c r="J72" s="8"/>
      <c r="K72" s="10"/>
      <c r="L72" s="10">
        <f t="shared" si="1"/>
        <v>49848.73</v>
      </c>
      <c r="M72" s="8"/>
    </row>
    <row r="73">
      <c r="I73" s="13"/>
      <c r="J73" s="8"/>
      <c r="K73" s="10"/>
      <c r="L73" s="10">
        <f t="shared" si="1"/>
        <v>49848.73</v>
      </c>
      <c r="M73" s="8"/>
    </row>
    <row r="74">
      <c r="I74" s="13"/>
      <c r="J74" s="8"/>
      <c r="K74" s="10"/>
      <c r="L74" s="10">
        <f t="shared" si="1"/>
        <v>49848.73</v>
      </c>
      <c r="M74" s="8"/>
    </row>
    <row r="75">
      <c r="I75" s="13"/>
      <c r="J75" s="8"/>
      <c r="K75" s="10"/>
      <c r="L75" s="10">
        <f t="shared" si="1"/>
        <v>49848.73</v>
      </c>
      <c r="M75" s="8"/>
    </row>
    <row r="76">
      <c r="I76" s="14"/>
      <c r="J76" s="8"/>
      <c r="K76" s="10"/>
      <c r="L76" s="10">
        <f t="shared" si="1"/>
        <v>49848.73</v>
      </c>
      <c r="M76" s="8"/>
    </row>
    <row r="77">
      <c r="I77" s="13"/>
      <c r="J77" s="8"/>
      <c r="K77" s="10"/>
      <c r="L77" s="10">
        <f t="shared" si="1"/>
        <v>49848.73</v>
      </c>
      <c r="M77" s="8"/>
    </row>
    <row r="78">
      <c r="I78" s="13"/>
      <c r="J78" s="8"/>
      <c r="K78" s="10"/>
      <c r="L78" s="10">
        <f t="shared" si="1"/>
        <v>49848.73</v>
      </c>
      <c r="M78" s="8"/>
    </row>
    <row r="79">
      <c r="I79" s="14"/>
      <c r="J79" s="8"/>
      <c r="K79" s="10"/>
      <c r="L79" s="10">
        <f t="shared" si="1"/>
        <v>49848.73</v>
      </c>
      <c r="M79" s="8"/>
    </row>
    <row r="80">
      <c r="I80" s="13"/>
      <c r="J80" s="8"/>
      <c r="K80" s="10"/>
      <c r="L80" s="10">
        <f t="shared" si="1"/>
        <v>49848.73</v>
      </c>
      <c r="M80" s="8"/>
    </row>
    <row r="81">
      <c r="I81" s="13"/>
      <c r="J81" s="8"/>
      <c r="K81" s="10"/>
      <c r="L81" s="10">
        <f t="shared" si="1"/>
        <v>49848.73</v>
      </c>
      <c r="M81" s="8"/>
    </row>
    <row r="82">
      <c r="I82" s="13"/>
      <c r="J82" s="8"/>
      <c r="K82" s="10"/>
      <c r="L82" s="10">
        <f t="shared" si="1"/>
        <v>49848.73</v>
      </c>
      <c r="M82" s="8"/>
    </row>
    <row r="83">
      <c r="I83" s="14"/>
      <c r="J83" s="8"/>
      <c r="K83" s="10"/>
      <c r="L83" s="10">
        <f t="shared" si="1"/>
        <v>49848.73</v>
      </c>
      <c r="M83" s="8"/>
    </row>
    <row r="84">
      <c r="I84" s="13"/>
      <c r="J84" s="8"/>
      <c r="K84" s="10"/>
      <c r="L84" s="10">
        <f t="shared" si="1"/>
        <v>49848.73</v>
      </c>
      <c r="M84" s="8"/>
    </row>
    <row r="85">
      <c r="I85" s="14"/>
      <c r="J85" s="8"/>
      <c r="K85" s="10"/>
      <c r="L85" s="10">
        <f t="shared" si="1"/>
        <v>49848.73</v>
      </c>
      <c r="M85" s="8"/>
    </row>
    <row r="86">
      <c r="I86" s="13"/>
      <c r="J86" s="8"/>
      <c r="K86" s="10"/>
      <c r="L86" s="10">
        <f t="shared" si="1"/>
        <v>49848.73</v>
      </c>
      <c r="M86" s="8"/>
    </row>
    <row r="87">
      <c r="I87" s="13"/>
      <c r="J87" s="8"/>
      <c r="K87" s="10"/>
      <c r="L87" s="10">
        <f t="shared" si="1"/>
        <v>49848.73</v>
      </c>
      <c r="M87" s="8"/>
    </row>
    <row r="88">
      <c r="I88" s="13"/>
      <c r="J88" s="8"/>
      <c r="K88" s="10"/>
      <c r="L88" s="10">
        <f t="shared" si="1"/>
        <v>49848.73</v>
      </c>
      <c r="M88" s="8"/>
    </row>
    <row r="89">
      <c r="I89" s="13"/>
      <c r="J89" s="8"/>
      <c r="K89" s="10"/>
      <c r="L89" s="10">
        <f t="shared" si="1"/>
        <v>49848.73</v>
      </c>
      <c r="M89" s="8"/>
    </row>
    <row r="90">
      <c r="I90" s="14"/>
      <c r="J90" s="8"/>
      <c r="K90" s="10"/>
      <c r="L90" s="10">
        <f t="shared" si="1"/>
        <v>49848.73</v>
      </c>
      <c r="M90" s="8"/>
    </row>
    <row r="91">
      <c r="I91" s="13"/>
      <c r="J91" s="8"/>
      <c r="K91" s="10"/>
      <c r="L91" s="10">
        <f t="shared" si="1"/>
        <v>49848.73</v>
      </c>
      <c r="M91" s="8"/>
    </row>
    <row r="92">
      <c r="I92" s="13"/>
      <c r="J92" s="8"/>
      <c r="K92" s="10"/>
      <c r="L92" s="10">
        <f t="shared" si="1"/>
        <v>49848.73</v>
      </c>
      <c r="M92" s="8"/>
    </row>
    <row r="93">
      <c r="I93" s="14"/>
      <c r="J93" s="8"/>
      <c r="K93" s="10"/>
      <c r="L93" s="10">
        <f t="shared" si="1"/>
        <v>49848.73</v>
      </c>
      <c r="M93" s="8"/>
    </row>
    <row r="94">
      <c r="I94" s="13"/>
      <c r="J94" s="8"/>
      <c r="K94" s="10"/>
      <c r="L94" s="10">
        <f t="shared" si="1"/>
        <v>49848.73</v>
      </c>
      <c r="M94" s="8"/>
    </row>
    <row r="95">
      <c r="I95" s="13"/>
      <c r="J95" s="8"/>
      <c r="K95" s="10"/>
      <c r="L95" s="10">
        <f t="shared" si="1"/>
        <v>49848.73</v>
      </c>
      <c r="M95" s="8"/>
    </row>
    <row r="96">
      <c r="I96" s="14"/>
      <c r="J96" s="8"/>
      <c r="K96" s="10"/>
      <c r="L96" s="10">
        <f t="shared" si="1"/>
        <v>49848.73</v>
      </c>
      <c r="M96" s="8"/>
    </row>
    <row r="97">
      <c r="I97" s="13"/>
      <c r="J97" s="8"/>
      <c r="K97" s="10"/>
      <c r="L97" s="10">
        <f t="shared" si="1"/>
        <v>49848.73</v>
      </c>
      <c r="M97" s="8"/>
    </row>
    <row r="98">
      <c r="I98" s="13"/>
      <c r="J98" s="8"/>
      <c r="K98" s="10"/>
      <c r="L98" s="10">
        <f t="shared" si="1"/>
        <v>49848.73</v>
      </c>
      <c r="M98" s="8"/>
    </row>
    <row r="99">
      <c r="I99" s="13"/>
      <c r="J99" s="8"/>
      <c r="K99" s="10"/>
      <c r="L99" s="10">
        <f t="shared" si="1"/>
        <v>49848.73</v>
      </c>
      <c r="M99" s="8"/>
    </row>
    <row r="100">
      <c r="I100" s="14"/>
      <c r="J100" s="8"/>
      <c r="K100" s="10"/>
      <c r="L100" s="10">
        <f t="shared" si="1"/>
        <v>49848.73</v>
      </c>
      <c r="M100" s="8"/>
    </row>
    <row r="101">
      <c r="I101" s="13"/>
      <c r="J101" s="8"/>
      <c r="K101" s="10"/>
      <c r="L101" s="10">
        <f t="shared" si="1"/>
        <v>49848.73</v>
      </c>
      <c r="M101" s="8"/>
    </row>
    <row r="102">
      <c r="I102" s="13"/>
      <c r="J102" s="8"/>
      <c r="K102" s="10"/>
      <c r="L102" s="10">
        <f t="shared" si="1"/>
        <v>49848.73</v>
      </c>
      <c r="M102" s="8"/>
    </row>
    <row r="103">
      <c r="I103" s="13"/>
      <c r="J103" s="8"/>
      <c r="K103" s="10"/>
      <c r="L103" s="10">
        <f t="shared" si="1"/>
        <v>49848.73</v>
      </c>
      <c r="M103" s="8"/>
    </row>
    <row r="104">
      <c r="I104" s="13"/>
      <c r="J104" s="8"/>
      <c r="K104" s="10"/>
      <c r="L104" s="10">
        <f t="shared" si="1"/>
        <v>49848.73</v>
      </c>
      <c r="M104" s="8"/>
    </row>
    <row r="105">
      <c r="I105" s="13"/>
      <c r="J105" s="8"/>
      <c r="K105" s="10"/>
      <c r="L105" s="10">
        <f t="shared" si="1"/>
        <v>49848.73</v>
      </c>
      <c r="M105" s="8"/>
    </row>
    <row r="106">
      <c r="I106" s="13"/>
      <c r="J106" s="8"/>
      <c r="K106" s="10"/>
      <c r="L106" s="10">
        <f t="shared" si="1"/>
        <v>49848.73</v>
      </c>
      <c r="M106" s="8"/>
    </row>
    <row r="107">
      <c r="I107" s="14"/>
      <c r="J107" s="8"/>
      <c r="K107" s="10"/>
      <c r="L107" s="10">
        <f t="shared" si="1"/>
        <v>49848.73</v>
      </c>
      <c r="M107" s="8"/>
    </row>
    <row r="108">
      <c r="I108" s="13"/>
      <c r="J108" s="8"/>
      <c r="K108" s="10"/>
      <c r="L108" s="10">
        <f t="shared" si="1"/>
        <v>49848.73</v>
      </c>
      <c r="M108" s="8"/>
    </row>
    <row r="109">
      <c r="I109" s="13"/>
      <c r="J109" s="8"/>
      <c r="K109" s="10"/>
      <c r="L109" s="10">
        <f t="shared" si="1"/>
        <v>49848.73</v>
      </c>
      <c r="M109" s="8"/>
    </row>
    <row r="110">
      <c r="I110" s="13"/>
      <c r="J110" s="8"/>
      <c r="K110" s="10"/>
      <c r="L110" s="10">
        <f t="shared" si="1"/>
        <v>49848.73</v>
      </c>
      <c r="M110" s="8"/>
    </row>
    <row r="111">
      <c r="I111" s="13"/>
      <c r="J111" s="8"/>
      <c r="K111" s="10"/>
      <c r="L111" s="10">
        <f t="shared" si="1"/>
        <v>49848.73</v>
      </c>
      <c r="M111" s="8"/>
    </row>
    <row r="112">
      <c r="I112" s="13"/>
      <c r="J112" s="8"/>
      <c r="K112" s="10"/>
      <c r="L112" s="10">
        <f t="shared" si="1"/>
        <v>49848.73</v>
      </c>
      <c r="M112" s="8"/>
    </row>
    <row r="113">
      <c r="I113" s="13"/>
      <c r="J113" s="8"/>
      <c r="K113" s="10"/>
      <c r="L113" s="10">
        <f t="shared" si="1"/>
        <v>49848.73</v>
      </c>
      <c r="M113" s="8"/>
    </row>
    <row r="114">
      <c r="I114" s="13"/>
      <c r="J114" s="8"/>
      <c r="K114" s="10"/>
      <c r="L114" s="10">
        <f t="shared" si="1"/>
        <v>49848.73</v>
      </c>
      <c r="M114" s="8"/>
    </row>
    <row r="115">
      <c r="I115" s="14"/>
      <c r="J115" s="8"/>
      <c r="K115" s="10"/>
      <c r="L115" s="10">
        <f t="shared" si="1"/>
        <v>49848.73</v>
      </c>
      <c r="M115" s="8"/>
    </row>
    <row r="116">
      <c r="I116" s="13"/>
      <c r="J116" s="8"/>
      <c r="K116" s="10"/>
      <c r="L116" s="10">
        <f t="shared" si="1"/>
        <v>49848.73</v>
      </c>
      <c r="M116" s="8"/>
    </row>
    <row r="117">
      <c r="I117" s="13"/>
      <c r="J117" s="8"/>
      <c r="K117" s="10"/>
      <c r="L117" s="10">
        <f t="shared" si="1"/>
        <v>49848.73</v>
      </c>
      <c r="M117" s="8"/>
    </row>
    <row r="118">
      <c r="I118" s="13"/>
      <c r="J118" s="8"/>
      <c r="K118" s="10"/>
      <c r="L118" s="10">
        <f t="shared" si="1"/>
        <v>49848.73</v>
      </c>
      <c r="M118" s="8"/>
    </row>
    <row r="119">
      <c r="I119" s="13"/>
      <c r="J119" s="8"/>
      <c r="K119" s="10"/>
      <c r="L119" s="10">
        <f t="shared" si="1"/>
        <v>49848.73</v>
      </c>
      <c r="M119" s="8"/>
    </row>
    <row r="120">
      <c r="I120" s="14"/>
      <c r="J120" s="8"/>
      <c r="K120" s="10"/>
      <c r="L120" s="10">
        <f t="shared" si="1"/>
        <v>49848.73</v>
      </c>
      <c r="M120" s="8"/>
    </row>
    <row r="121">
      <c r="I121" s="14"/>
      <c r="J121" s="8"/>
      <c r="K121" s="10"/>
      <c r="L121" s="10">
        <f t="shared" si="1"/>
        <v>49848.73</v>
      </c>
      <c r="M121" s="8"/>
    </row>
    <row r="122">
      <c r="I122" s="14"/>
      <c r="J122" s="8"/>
      <c r="K122" s="10"/>
      <c r="L122" s="10">
        <f t="shared" si="1"/>
        <v>49848.73</v>
      </c>
      <c r="M122" s="8"/>
    </row>
    <row r="123">
      <c r="I123" s="14"/>
      <c r="J123" s="8"/>
      <c r="K123" s="10"/>
      <c r="L123" s="10">
        <f t="shared" si="1"/>
        <v>49848.73</v>
      </c>
      <c r="M123" s="8"/>
    </row>
    <row r="124">
      <c r="I124" s="14"/>
      <c r="J124" s="8"/>
      <c r="K124" s="10"/>
      <c r="L124" s="10">
        <f t="shared" si="1"/>
        <v>49848.73</v>
      </c>
      <c r="M124" s="8"/>
    </row>
    <row r="125">
      <c r="I125" s="14"/>
      <c r="J125" s="8"/>
      <c r="K125" s="10"/>
      <c r="L125" s="10">
        <f t="shared" si="1"/>
        <v>49848.73</v>
      </c>
      <c r="M125" s="8"/>
    </row>
    <row r="126">
      <c r="I126" s="14"/>
      <c r="J126" s="8"/>
      <c r="K126" s="10"/>
      <c r="L126" s="10">
        <f t="shared" si="1"/>
        <v>49848.73</v>
      </c>
      <c r="M126" s="8"/>
    </row>
    <row r="127">
      <c r="I127" s="14"/>
      <c r="J127" s="8"/>
      <c r="K127" s="10"/>
      <c r="L127" s="10">
        <f t="shared" si="1"/>
        <v>49848.73</v>
      </c>
      <c r="M127" s="8"/>
    </row>
    <row r="128">
      <c r="I128" s="14"/>
      <c r="J128" s="8"/>
      <c r="K128" s="10"/>
      <c r="L128" s="10">
        <f t="shared" si="1"/>
        <v>49848.73</v>
      </c>
      <c r="M128" s="8"/>
    </row>
    <row r="129">
      <c r="I129" s="14"/>
      <c r="J129" s="8"/>
      <c r="K129" s="10"/>
      <c r="L129" s="10">
        <f t="shared" si="1"/>
        <v>49848.73</v>
      </c>
      <c r="M129" s="8"/>
    </row>
    <row r="130">
      <c r="I130" s="14"/>
      <c r="J130" s="8"/>
      <c r="K130" s="10"/>
      <c r="L130" s="10">
        <f t="shared" si="1"/>
        <v>49848.73</v>
      </c>
      <c r="M130" s="8"/>
    </row>
    <row r="131">
      <c r="I131" s="14"/>
      <c r="J131" s="13"/>
      <c r="K131" s="16"/>
      <c r="L131" s="10">
        <f t="shared" si="1"/>
        <v>49848.73</v>
      </c>
      <c r="M131" s="8"/>
    </row>
  </sheetData>
  <mergeCells count="4">
    <mergeCell ref="C1:E1"/>
    <mergeCell ref="J1:L1"/>
    <mergeCell ref="C3:E3"/>
    <mergeCell ref="B24:D24"/>
  </mergeCells>
  <dataValidations>
    <dataValidation type="list" allowBlank="1" showErrorMessage="1" sqref="M4:M130">
      <formula1>"โอนเข้าบัญชี,ตัดบัตร"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5.0"/>
    <col customWidth="1" min="4" max="4" width="10.75"/>
    <col customWidth="1" min="5" max="5" width="16.88"/>
    <col customWidth="1" min="6" max="7" width="11.25"/>
    <col customWidth="1" min="9" max="9" width="14.88"/>
    <col customWidth="1" min="10" max="10" width="4.5"/>
    <col customWidth="1" min="12" max="12" width="7.88"/>
  </cols>
  <sheetData>
    <row r="1">
      <c r="E1" s="1" t="s">
        <v>25</v>
      </c>
      <c r="K1" s="1" t="s">
        <v>26</v>
      </c>
    </row>
    <row r="2">
      <c r="A2" s="3"/>
      <c r="B2" s="17">
        <v>0.0</v>
      </c>
      <c r="C2" s="3"/>
      <c r="D2" s="4" t="s">
        <v>2</v>
      </c>
      <c r="E2" s="4" t="s">
        <v>3</v>
      </c>
      <c r="F2" s="4" t="s">
        <v>4</v>
      </c>
      <c r="G2" s="4" t="s">
        <v>5</v>
      </c>
      <c r="H2" s="4" t="s">
        <v>27</v>
      </c>
      <c r="I2" s="4" t="s">
        <v>6</v>
      </c>
      <c r="K2" s="18" t="s">
        <v>3</v>
      </c>
      <c r="L2" s="18" t="s">
        <v>4</v>
      </c>
      <c r="M2" s="18" t="s">
        <v>28</v>
      </c>
    </row>
    <row r="3">
      <c r="A3" s="5"/>
      <c r="B3" s="5"/>
      <c r="C3" s="5"/>
      <c r="D3" s="6"/>
      <c r="E3" s="8" t="s">
        <v>29</v>
      </c>
      <c r="F3" s="10">
        <v>4027.29</v>
      </c>
      <c r="G3" s="10">
        <v>4027.29</v>
      </c>
      <c r="H3" s="8"/>
      <c r="I3" s="8"/>
      <c r="K3" s="7" t="s">
        <v>30</v>
      </c>
      <c r="L3" s="7">
        <v>2.0</v>
      </c>
      <c r="M3" s="7" t="s">
        <v>31</v>
      </c>
    </row>
    <row r="4">
      <c r="A4" s="12"/>
      <c r="B4" s="12"/>
      <c r="C4" s="12"/>
      <c r="D4" s="6">
        <v>25235.0</v>
      </c>
      <c r="E4" s="8" t="s">
        <v>32</v>
      </c>
      <c r="F4" s="10">
        <v>-1072.28</v>
      </c>
      <c r="G4" s="10">
        <f t="shared" ref="G4:G82" si="1">G3+F4</f>
        <v>2955.01</v>
      </c>
      <c r="H4" s="8"/>
      <c r="I4" s="8"/>
      <c r="K4" s="7" t="s">
        <v>33</v>
      </c>
      <c r="L4" s="7">
        <v>4.0</v>
      </c>
      <c r="M4" s="19"/>
    </row>
    <row r="5">
      <c r="A5" s="12"/>
      <c r="B5" s="12"/>
      <c r="C5" s="12"/>
      <c r="D5" s="6">
        <v>25238.0</v>
      </c>
      <c r="E5" s="8" t="s">
        <v>32</v>
      </c>
      <c r="F5" s="10">
        <v>-536.88</v>
      </c>
      <c r="G5" s="10">
        <f t="shared" si="1"/>
        <v>2418.13</v>
      </c>
      <c r="H5" s="8"/>
      <c r="I5" s="8"/>
      <c r="K5" s="7" t="s">
        <v>34</v>
      </c>
      <c r="L5" s="7">
        <v>2.0</v>
      </c>
      <c r="M5" s="19"/>
    </row>
    <row r="6">
      <c r="A6" s="12"/>
      <c r="B6" s="12"/>
      <c r="C6" s="12"/>
      <c r="D6" s="6">
        <v>25239.0</v>
      </c>
      <c r="E6" s="8" t="s">
        <v>10</v>
      </c>
      <c r="F6" s="10">
        <v>12500.0</v>
      </c>
      <c r="G6" s="10">
        <f t="shared" si="1"/>
        <v>14918.13</v>
      </c>
      <c r="H6" s="8"/>
      <c r="I6" s="8"/>
      <c r="K6" s="7" t="s">
        <v>35</v>
      </c>
      <c r="L6" s="7">
        <v>1.0</v>
      </c>
      <c r="M6" s="19"/>
    </row>
    <row r="7">
      <c r="A7" s="12"/>
      <c r="B7" s="12"/>
      <c r="C7" s="12"/>
      <c r="D7" s="6"/>
      <c r="E7" s="8" t="s">
        <v>32</v>
      </c>
      <c r="F7" s="10">
        <v>-1460.33</v>
      </c>
      <c r="G7" s="10">
        <f t="shared" si="1"/>
        <v>13457.8</v>
      </c>
      <c r="H7" s="8"/>
      <c r="I7" s="8"/>
      <c r="K7" s="7" t="s">
        <v>36</v>
      </c>
      <c r="L7" s="7">
        <v>1.0</v>
      </c>
      <c r="M7" s="19"/>
    </row>
    <row r="8">
      <c r="A8" s="12"/>
      <c r="B8" s="12"/>
      <c r="C8" s="12"/>
      <c r="D8" s="6"/>
      <c r="E8" s="8" t="s">
        <v>37</v>
      </c>
      <c r="F8" s="10">
        <v>-7500.0</v>
      </c>
      <c r="G8" s="10">
        <f t="shared" si="1"/>
        <v>5957.8</v>
      </c>
      <c r="H8" s="8"/>
      <c r="I8" s="8"/>
      <c r="K8" s="7" t="s">
        <v>38</v>
      </c>
      <c r="L8" s="7">
        <v>4.0</v>
      </c>
      <c r="M8" s="19"/>
    </row>
    <row r="9">
      <c r="A9" s="12"/>
      <c r="B9" s="12"/>
      <c r="C9" s="12"/>
      <c r="D9" s="6">
        <v>25240.0</v>
      </c>
      <c r="E9" s="8" t="s">
        <v>32</v>
      </c>
      <c r="F9" s="10">
        <v>-3065.62</v>
      </c>
      <c r="G9" s="10">
        <f t="shared" si="1"/>
        <v>2892.18</v>
      </c>
      <c r="H9" s="8"/>
      <c r="I9" s="8"/>
      <c r="K9" s="7" t="s">
        <v>39</v>
      </c>
      <c r="L9" s="7">
        <v>1.0</v>
      </c>
      <c r="M9" s="19"/>
    </row>
    <row r="10">
      <c r="A10" s="12"/>
      <c r="B10" s="12"/>
      <c r="C10" s="12"/>
      <c r="D10" s="6">
        <v>25241.0</v>
      </c>
      <c r="E10" s="8" t="s">
        <v>10</v>
      </c>
      <c r="F10" s="10">
        <v>2000.0</v>
      </c>
      <c r="G10" s="10">
        <f t="shared" si="1"/>
        <v>4892.18</v>
      </c>
      <c r="H10" s="8"/>
      <c r="I10" s="8"/>
      <c r="K10" s="12"/>
      <c r="L10" s="12"/>
      <c r="M10" s="12"/>
    </row>
    <row r="11">
      <c r="A11" s="12"/>
      <c r="B11" s="12"/>
      <c r="C11" s="12"/>
      <c r="D11" s="6"/>
      <c r="E11" s="8" t="s">
        <v>32</v>
      </c>
      <c r="F11" s="10">
        <v>-3009.62</v>
      </c>
      <c r="G11" s="10">
        <f t="shared" si="1"/>
        <v>1882.56</v>
      </c>
      <c r="H11" s="8"/>
      <c r="I11" s="8"/>
      <c r="K11" s="2"/>
      <c r="L11" s="2"/>
      <c r="M11" s="2"/>
    </row>
    <row r="12">
      <c r="A12" s="12"/>
      <c r="B12" s="12"/>
      <c r="C12" s="12"/>
      <c r="D12" s="6">
        <v>25242.0</v>
      </c>
      <c r="E12" s="8" t="s">
        <v>10</v>
      </c>
      <c r="F12" s="10">
        <v>5000.0</v>
      </c>
      <c r="G12" s="10">
        <f t="shared" si="1"/>
        <v>6882.56</v>
      </c>
      <c r="H12" s="8"/>
      <c r="I12" s="8"/>
      <c r="K12" s="9"/>
      <c r="L12" s="9"/>
      <c r="M12" s="9"/>
    </row>
    <row r="13">
      <c r="A13" s="12"/>
      <c r="B13" s="12"/>
      <c r="C13" s="12"/>
      <c r="D13" s="6"/>
      <c r="E13" s="8" t="s">
        <v>32</v>
      </c>
      <c r="F13" s="10">
        <v>-3470.76</v>
      </c>
      <c r="G13" s="10">
        <f t="shared" si="1"/>
        <v>3411.8</v>
      </c>
      <c r="H13" s="8"/>
      <c r="I13" s="8"/>
      <c r="K13" s="12"/>
      <c r="L13" s="12"/>
      <c r="M13" s="12"/>
    </row>
    <row r="14">
      <c r="A14" s="12"/>
      <c r="B14" s="12"/>
      <c r="C14" s="12"/>
      <c r="D14" s="6">
        <v>25243.0</v>
      </c>
      <c r="E14" s="8" t="s">
        <v>10</v>
      </c>
      <c r="F14" s="10">
        <v>5000.0</v>
      </c>
      <c r="G14" s="10">
        <f t="shared" si="1"/>
        <v>8411.8</v>
      </c>
      <c r="H14" s="8"/>
      <c r="I14" s="8"/>
      <c r="K14" s="12"/>
      <c r="L14" s="12"/>
      <c r="M14" s="12"/>
    </row>
    <row r="15">
      <c r="A15" s="12"/>
      <c r="B15" s="12"/>
      <c r="C15" s="12"/>
      <c r="D15" s="6"/>
      <c r="E15" s="8" t="s">
        <v>32</v>
      </c>
      <c r="F15" s="10">
        <v>-4188.62</v>
      </c>
      <c r="G15" s="10">
        <f t="shared" si="1"/>
        <v>4223.18</v>
      </c>
      <c r="H15" s="8"/>
      <c r="I15" s="8"/>
    </row>
    <row r="16">
      <c r="A16" s="12"/>
      <c r="B16" s="12"/>
      <c r="C16" s="12"/>
      <c r="D16" s="6">
        <v>25244.0</v>
      </c>
      <c r="E16" s="8" t="s">
        <v>10</v>
      </c>
      <c r="F16" s="10">
        <v>5000.0</v>
      </c>
      <c r="G16" s="10">
        <f t="shared" si="1"/>
        <v>9223.18</v>
      </c>
      <c r="H16" s="8"/>
      <c r="I16" s="8"/>
    </row>
    <row r="17">
      <c r="A17" s="12"/>
      <c r="B17" s="12"/>
      <c r="C17" s="12"/>
      <c r="D17" s="6"/>
      <c r="E17" s="8" t="s">
        <v>32</v>
      </c>
      <c r="F17" s="10">
        <v>-4135.61</v>
      </c>
      <c r="G17" s="10">
        <f t="shared" si="1"/>
        <v>5087.57</v>
      </c>
      <c r="H17" s="8"/>
      <c r="I17" s="8"/>
    </row>
    <row r="18">
      <c r="A18" s="12"/>
      <c r="B18" s="12"/>
      <c r="C18" s="12"/>
      <c r="D18" s="6"/>
      <c r="E18" s="8" t="s">
        <v>40</v>
      </c>
      <c r="F18" s="10">
        <v>-1750.0</v>
      </c>
      <c r="G18" s="10">
        <f t="shared" si="1"/>
        <v>3337.57</v>
      </c>
      <c r="H18" s="8"/>
      <c r="I18" s="8"/>
    </row>
    <row r="19">
      <c r="A19" s="12"/>
      <c r="B19" s="12"/>
      <c r="C19" s="12"/>
      <c r="D19" s="6">
        <v>25245.0</v>
      </c>
      <c r="E19" s="8" t="s">
        <v>10</v>
      </c>
      <c r="F19" s="10">
        <v>5000.0</v>
      </c>
      <c r="G19" s="10">
        <f t="shared" si="1"/>
        <v>8337.57</v>
      </c>
      <c r="H19" s="8"/>
      <c r="I19" s="8"/>
    </row>
    <row r="20">
      <c r="A20" s="12"/>
      <c r="B20" s="12"/>
      <c r="C20" s="12"/>
      <c r="D20" s="6"/>
      <c r="E20" s="8" t="s">
        <v>32</v>
      </c>
      <c r="F20" s="10">
        <v>-3965.05</v>
      </c>
      <c r="G20" s="10">
        <f t="shared" si="1"/>
        <v>4372.52</v>
      </c>
      <c r="H20" s="8"/>
      <c r="I20" s="8"/>
    </row>
    <row r="21">
      <c r="A21" s="12"/>
      <c r="B21" s="12"/>
      <c r="C21" s="12"/>
      <c r="D21" s="6">
        <v>25246.0</v>
      </c>
      <c r="E21" s="8" t="s">
        <v>10</v>
      </c>
      <c r="F21" s="10">
        <v>4000.0</v>
      </c>
      <c r="G21" s="10">
        <f t="shared" si="1"/>
        <v>8372.52</v>
      </c>
      <c r="H21" s="8"/>
      <c r="I21" s="8"/>
    </row>
    <row r="22">
      <c r="A22" s="12"/>
      <c r="B22" s="12"/>
      <c r="C22" s="12"/>
      <c r="D22" s="6"/>
      <c r="E22" s="8" t="s">
        <v>32</v>
      </c>
      <c r="F22" s="10">
        <v>-4174.27</v>
      </c>
      <c r="G22" s="10">
        <f t="shared" si="1"/>
        <v>4198.25</v>
      </c>
      <c r="H22" s="8"/>
      <c r="I22" s="8"/>
    </row>
    <row r="23">
      <c r="A23" s="12"/>
      <c r="B23" s="12"/>
      <c r="C23" s="12"/>
      <c r="D23" s="6">
        <v>25247.0</v>
      </c>
      <c r="E23" s="8" t="s">
        <v>10</v>
      </c>
      <c r="F23" s="10">
        <v>4000.0</v>
      </c>
      <c r="G23" s="10">
        <f t="shared" si="1"/>
        <v>8198.25</v>
      </c>
      <c r="H23" s="8"/>
      <c r="I23" s="8"/>
    </row>
    <row r="24">
      <c r="A24" s="12"/>
      <c r="B24" s="12"/>
      <c r="C24" s="12"/>
      <c r="D24" s="6"/>
      <c r="E24" s="8" t="s">
        <v>32</v>
      </c>
      <c r="F24" s="10">
        <v>-5001.69</v>
      </c>
      <c r="G24" s="10">
        <f t="shared" si="1"/>
        <v>3196.56</v>
      </c>
      <c r="H24" s="8"/>
      <c r="I24" s="8"/>
    </row>
    <row r="25">
      <c r="A25" s="12"/>
      <c r="B25" s="12"/>
      <c r="C25" s="12"/>
      <c r="D25" s="6">
        <v>25248.0</v>
      </c>
      <c r="E25" s="8" t="s">
        <v>10</v>
      </c>
      <c r="F25" s="10">
        <v>4000.0</v>
      </c>
      <c r="G25" s="10">
        <f t="shared" si="1"/>
        <v>7196.56</v>
      </c>
      <c r="H25" s="8"/>
      <c r="I25" s="8"/>
    </row>
    <row r="26">
      <c r="A26" s="12"/>
      <c r="B26" s="12"/>
      <c r="C26" s="12"/>
      <c r="D26" s="6"/>
      <c r="E26" s="8" t="s">
        <v>32</v>
      </c>
      <c r="F26" s="10">
        <v>-5528.38</v>
      </c>
      <c r="G26" s="10">
        <f t="shared" si="1"/>
        <v>1668.18</v>
      </c>
      <c r="H26" s="8"/>
      <c r="I26" s="8"/>
    </row>
    <row r="27">
      <c r="A27" s="12"/>
      <c r="B27" s="12"/>
      <c r="C27" s="12"/>
      <c r="D27" s="6">
        <v>25249.0</v>
      </c>
      <c r="E27" s="8" t="s">
        <v>10</v>
      </c>
      <c r="F27" s="10">
        <v>4000.0</v>
      </c>
      <c r="G27" s="10">
        <f t="shared" si="1"/>
        <v>5668.18</v>
      </c>
      <c r="H27" s="8"/>
      <c r="I27" s="8"/>
    </row>
    <row r="28">
      <c r="A28" s="12"/>
      <c r="B28" s="12"/>
      <c r="C28" s="12"/>
      <c r="D28" s="6"/>
      <c r="E28" s="8" t="s">
        <v>32</v>
      </c>
      <c r="F28" s="10">
        <v>-4999.82</v>
      </c>
      <c r="G28" s="10">
        <f t="shared" si="1"/>
        <v>668.36</v>
      </c>
      <c r="H28" s="8"/>
      <c r="I28" s="8"/>
    </row>
    <row r="29">
      <c r="D29" s="6">
        <v>25250.0</v>
      </c>
      <c r="E29" s="8" t="s">
        <v>10</v>
      </c>
      <c r="F29" s="10">
        <v>6000.0</v>
      </c>
      <c r="G29" s="10">
        <f t="shared" si="1"/>
        <v>6668.36</v>
      </c>
      <c r="H29" s="8"/>
      <c r="I29" s="8"/>
    </row>
    <row r="30">
      <c r="D30" s="6"/>
      <c r="E30" s="8" t="s">
        <v>32</v>
      </c>
      <c r="F30" s="10">
        <v>-5264.46</v>
      </c>
      <c r="G30" s="10">
        <f t="shared" si="1"/>
        <v>1403.9</v>
      </c>
      <c r="H30" s="8"/>
      <c r="I30" s="8"/>
    </row>
    <row r="31">
      <c r="D31" s="6"/>
      <c r="E31" s="8"/>
      <c r="F31" s="10"/>
      <c r="G31" s="10">
        <f t="shared" si="1"/>
        <v>1403.9</v>
      </c>
      <c r="H31" s="8"/>
      <c r="I31" s="8"/>
    </row>
    <row r="32">
      <c r="D32" s="6"/>
      <c r="E32" s="8"/>
      <c r="F32" s="10"/>
      <c r="G32" s="10">
        <f t="shared" si="1"/>
        <v>1403.9</v>
      </c>
      <c r="H32" s="8"/>
      <c r="I32" s="8"/>
    </row>
    <row r="33">
      <c r="D33" s="6"/>
      <c r="E33" s="8"/>
      <c r="F33" s="10"/>
      <c r="G33" s="10">
        <f t="shared" si="1"/>
        <v>1403.9</v>
      </c>
      <c r="H33" s="8"/>
      <c r="I33" s="8"/>
    </row>
    <row r="34">
      <c r="D34" s="6"/>
      <c r="E34" s="8"/>
      <c r="F34" s="10"/>
      <c r="G34" s="10">
        <f t="shared" si="1"/>
        <v>1403.9</v>
      </c>
      <c r="H34" s="8"/>
      <c r="I34" s="8"/>
    </row>
    <row r="35">
      <c r="D35" s="6"/>
      <c r="E35" s="8"/>
      <c r="F35" s="10"/>
      <c r="G35" s="10">
        <f t="shared" si="1"/>
        <v>1403.9</v>
      </c>
      <c r="H35" s="8"/>
      <c r="I35" s="8"/>
    </row>
    <row r="36">
      <c r="D36" s="6"/>
      <c r="E36" s="8"/>
      <c r="F36" s="10"/>
      <c r="G36" s="10">
        <f t="shared" si="1"/>
        <v>1403.9</v>
      </c>
      <c r="H36" s="8"/>
      <c r="I36" s="8"/>
    </row>
    <row r="37">
      <c r="D37" s="6"/>
      <c r="E37" s="8"/>
      <c r="F37" s="10"/>
      <c r="G37" s="10">
        <f t="shared" si="1"/>
        <v>1403.9</v>
      </c>
      <c r="H37" s="8"/>
      <c r="I37" s="8"/>
    </row>
    <row r="38">
      <c r="D38" s="6"/>
      <c r="E38" s="8"/>
      <c r="F38" s="10"/>
      <c r="G38" s="10">
        <f t="shared" si="1"/>
        <v>1403.9</v>
      </c>
      <c r="H38" s="8"/>
      <c r="I38" s="8"/>
    </row>
    <row r="39">
      <c r="D39" s="6"/>
      <c r="E39" s="8"/>
      <c r="F39" s="10"/>
      <c r="G39" s="10">
        <f t="shared" si="1"/>
        <v>1403.9</v>
      </c>
      <c r="H39" s="8"/>
      <c r="I39" s="8"/>
    </row>
    <row r="40">
      <c r="D40" s="6"/>
      <c r="E40" s="8"/>
      <c r="F40" s="10"/>
      <c r="G40" s="10">
        <f t="shared" si="1"/>
        <v>1403.9</v>
      </c>
      <c r="H40" s="8"/>
      <c r="I40" s="8"/>
    </row>
    <row r="41">
      <c r="D41" s="6"/>
      <c r="E41" s="8"/>
      <c r="F41" s="10"/>
      <c r="G41" s="10">
        <f t="shared" si="1"/>
        <v>1403.9</v>
      </c>
      <c r="H41" s="8"/>
      <c r="I41" s="8"/>
    </row>
    <row r="42">
      <c r="D42" s="6"/>
      <c r="E42" s="8"/>
      <c r="F42" s="10"/>
      <c r="G42" s="10">
        <f t="shared" si="1"/>
        <v>1403.9</v>
      </c>
      <c r="H42" s="8"/>
      <c r="I42" s="8"/>
    </row>
    <row r="43">
      <c r="D43" s="6"/>
      <c r="E43" s="8"/>
      <c r="F43" s="10"/>
      <c r="G43" s="10">
        <f t="shared" si="1"/>
        <v>1403.9</v>
      </c>
      <c r="H43" s="8"/>
      <c r="I43" s="8"/>
    </row>
    <row r="44">
      <c r="D44" s="6"/>
      <c r="E44" s="8"/>
      <c r="F44" s="10"/>
      <c r="G44" s="10">
        <f t="shared" si="1"/>
        <v>1403.9</v>
      </c>
      <c r="H44" s="8"/>
      <c r="I44" s="8"/>
    </row>
    <row r="45">
      <c r="D45" s="6"/>
      <c r="E45" s="8"/>
      <c r="F45" s="10"/>
      <c r="G45" s="10">
        <f t="shared" si="1"/>
        <v>1403.9</v>
      </c>
      <c r="H45" s="8"/>
      <c r="I45" s="8"/>
    </row>
    <row r="46">
      <c r="D46" s="6"/>
      <c r="E46" s="8"/>
      <c r="F46" s="10"/>
      <c r="G46" s="10">
        <f t="shared" si="1"/>
        <v>1403.9</v>
      </c>
      <c r="H46" s="8"/>
      <c r="I46" s="8"/>
    </row>
    <row r="47">
      <c r="D47" s="6"/>
      <c r="E47" s="8"/>
      <c r="F47" s="10"/>
      <c r="G47" s="10">
        <f t="shared" si="1"/>
        <v>1403.9</v>
      </c>
      <c r="H47" s="8"/>
      <c r="I47" s="8"/>
    </row>
    <row r="48">
      <c r="D48" s="6"/>
      <c r="E48" s="8"/>
      <c r="F48" s="10"/>
      <c r="G48" s="10">
        <f t="shared" si="1"/>
        <v>1403.9</v>
      </c>
      <c r="H48" s="8"/>
      <c r="I48" s="8"/>
    </row>
    <row r="49">
      <c r="D49" s="6"/>
      <c r="E49" s="8"/>
      <c r="F49" s="10"/>
      <c r="G49" s="10">
        <f t="shared" si="1"/>
        <v>1403.9</v>
      </c>
      <c r="H49" s="8"/>
      <c r="I49" s="8"/>
    </row>
    <row r="50">
      <c r="D50" s="6"/>
      <c r="E50" s="8"/>
      <c r="F50" s="10"/>
      <c r="G50" s="10">
        <f t="shared" si="1"/>
        <v>1403.9</v>
      </c>
      <c r="H50" s="8"/>
      <c r="I50" s="8"/>
    </row>
    <row r="51">
      <c r="D51" s="6"/>
      <c r="E51" s="8"/>
      <c r="F51" s="10"/>
      <c r="G51" s="10">
        <f t="shared" si="1"/>
        <v>1403.9</v>
      </c>
      <c r="H51" s="8"/>
      <c r="I51" s="8"/>
    </row>
    <row r="52">
      <c r="D52" s="6"/>
      <c r="E52" s="8"/>
      <c r="F52" s="10"/>
      <c r="G52" s="10">
        <f t="shared" si="1"/>
        <v>1403.9</v>
      </c>
      <c r="H52" s="8"/>
      <c r="I52" s="8"/>
    </row>
    <row r="53">
      <c r="D53" s="6"/>
      <c r="E53" s="8"/>
      <c r="F53" s="10"/>
      <c r="G53" s="10">
        <f t="shared" si="1"/>
        <v>1403.9</v>
      </c>
      <c r="H53" s="8"/>
      <c r="I53" s="8"/>
    </row>
    <row r="54">
      <c r="D54" s="6"/>
      <c r="E54" s="8"/>
      <c r="F54" s="10"/>
      <c r="G54" s="10">
        <f t="shared" si="1"/>
        <v>1403.9</v>
      </c>
      <c r="H54" s="8"/>
      <c r="I54" s="8"/>
    </row>
    <row r="55">
      <c r="D55" s="6"/>
      <c r="E55" s="8"/>
      <c r="F55" s="10"/>
      <c r="G55" s="10">
        <f t="shared" si="1"/>
        <v>1403.9</v>
      </c>
      <c r="H55" s="8"/>
      <c r="I55" s="8"/>
    </row>
    <row r="56">
      <c r="D56" s="14"/>
      <c r="E56" s="8"/>
      <c r="F56" s="10"/>
      <c r="G56" s="10">
        <f t="shared" si="1"/>
        <v>1403.9</v>
      </c>
      <c r="H56" s="8"/>
      <c r="I56" s="8"/>
    </row>
    <row r="57">
      <c r="D57" s="6"/>
      <c r="E57" s="8"/>
      <c r="F57" s="10"/>
      <c r="G57" s="10">
        <f t="shared" si="1"/>
        <v>1403.9</v>
      </c>
      <c r="H57" s="8"/>
      <c r="I57" s="8"/>
    </row>
    <row r="58">
      <c r="D58" s="6"/>
      <c r="E58" s="8"/>
      <c r="F58" s="10"/>
      <c r="G58" s="10">
        <f t="shared" si="1"/>
        <v>1403.9</v>
      </c>
      <c r="H58" s="8"/>
      <c r="I58" s="8"/>
    </row>
    <row r="59">
      <c r="D59" s="6"/>
      <c r="E59" s="8"/>
      <c r="F59" s="10"/>
      <c r="G59" s="10">
        <f t="shared" si="1"/>
        <v>1403.9</v>
      </c>
      <c r="H59" s="8"/>
      <c r="I59" s="8"/>
    </row>
    <row r="60">
      <c r="D60" s="6"/>
      <c r="E60" s="8"/>
      <c r="F60" s="10"/>
      <c r="G60" s="10">
        <f t="shared" si="1"/>
        <v>1403.9</v>
      </c>
      <c r="H60" s="8"/>
      <c r="I60" s="8"/>
    </row>
    <row r="61">
      <c r="D61" s="6"/>
      <c r="E61" s="8"/>
      <c r="F61" s="10"/>
      <c r="G61" s="10">
        <f t="shared" si="1"/>
        <v>1403.9</v>
      </c>
      <c r="H61" s="8"/>
      <c r="I61" s="8"/>
    </row>
    <row r="62">
      <c r="D62" s="6"/>
      <c r="E62" s="8"/>
      <c r="F62" s="10"/>
      <c r="G62" s="10">
        <f t="shared" si="1"/>
        <v>1403.9</v>
      </c>
      <c r="H62" s="8"/>
      <c r="I62" s="8"/>
    </row>
    <row r="63">
      <c r="D63" s="6"/>
      <c r="E63" s="8"/>
      <c r="F63" s="10"/>
      <c r="G63" s="10">
        <f t="shared" si="1"/>
        <v>1403.9</v>
      </c>
      <c r="H63" s="8"/>
      <c r="I63" s="8"/>
    </row>
    <row r="64">
      <c r="D64" s="14"/>
      <c r="E64" s="8"/>
      <c r="F64" s="10"/>
      <c r="G64" s="10">
        <f t="shared" si="1"/>
        <v>1403.9</v>
      </c>
      <c r="H64" s="8"/>
      <c r="I64" s="8"/>
    </row>
    <row r="65">
      <c r="D65" s="6"/>
      <c r="E65" s="8"/>
      <c r="F65" s="10"/>
      <c r="G65" s="10">
        <f t="shared" si="1"/>
        <v>1403.9</v>
      </c>
      <c r="H65" s="8"/>
      <c r="I65" s="8"/>
    </row>
    <row r="66">
      <c r="D66" s="6"/>
      <c r="E66" s="8"/>
      <c r="F66" s="10"/>
      <c r="G66" s="10">
        <f t="shared" si="1"/>
        <v>1403.9</v>
      </c>
      <c r="H66" s="8"/>
      <c r="I66" s="8"/>
    </row>
    <row r="67">
      <c r="D67" s="6"/>
      <c r="E67" s="8"/>
      <c r="F67" s="10"/>
      <c r="G67" s="10">
        <f t="shared" si="1"/>
        <v>1403.9</v>
      </c>
      <c r="H67" s="8"/>
      <c r="I67" s="8"/>
    </row>
    <row r="68">
      <c r="D68" s="6"/>
      <c r="E68" s="8"/>
      <c r="F68" s="10"/>
      <c r="G68" s="10">
        <f t="shared" si="1"/>
        <v>1403.9</v>
      </c>
      <c r="H68" s="8"/>
      <c r="I68" s="8"/>
    </row>
    <row r="69">
      <c r="D69" s="6"/>
      <c r="E69" s="8"/>
      <c r="F69" s="10"/>
      <c r="G69" s="10">
        <f t="shared" si="1"/>
        <v>1403.9</v>
      </c>
      <c r="H69" s="8"/>
      <c r="I69" s="8"/>
    </row>
    <row r="70">
      <c r="D70" s="6"/>
      <c r="E70" s="8"/>
      <c r="F70" s="10"/>
      <c r="G70" s="10">
        <f t="shared" si="1"/>
        <v>1403.9</v>
      </c>
      <c r="H70" s="8"/>
      <c r="I70" s="8"/>
    </row>
    <row r="71">
      <c r="D71" s="6"/>
      <c r="E71" s="8"/>
      <c r="F71" s="10"/>
      <c r="G71" s="10">
        <f t="shared" si="1"/>
        <v>1403.9</v>
      </c>
      <c r="H71" s="8"/>
      <c r="I71" s="8"/>
    </row>
    <row r="72">
      <c r="D72" s="6"/>
      <c r="E72" s="8"/>
      <c r="F72" s="10"/>
      <c r="G72" s="10">
        <f t="shared" si="1"/>
        <v>1403.9</v>
      </c>
      <c r="H72" s="8"/>
      <c r="I72" s="8"/>
    </row>
    <row r="73">
      <c r="D73" s="6"/>
      <c r="E73" s="8"/>
      <c r="F73" s="10"/>
      <c r="G73" s="10">
        <f t="shared" si="1"/>
        <v>1403.9</v>
      </c>
      <c r="H73" s="8"/>
      <c r="I73" s="8"/>
    </row>
    <row r="74">
      <c r="D74" s="6"/>
      <c r="E74" s="8"/>
      <c r="F74" s="10"/>
      <c r="G74" s="10">
        <f t="shared" si="1"/>
        <v>1403.9</v>
      </c>
      <c r="H74" s="8"/>
      <c r="I74" s="8"/>
    </row>
    <row r="75">
      <c r="D75" s="6"/>
      <c r="E75" s="8"/>
      <c r="F75" s="10"/>
      <c r="G75" s="10">
        <f t="shared" si="1"/>
        <v>1403.9</v>
      </c>
      <c r="H75" s="8"/>
      <c r="I75" s="8"/>
    </row>
    <row r="76">
      <c r="D76" s="6"/>
      <c r="E76" s="8"/>
      <c r="F76" s="10"/>
      <c r="G76" s="10">
        <f t="shared" si="1"/>
        <v>1403.9</v>
      </c>
      <c r="H76" s="8"/>
      <c r="I76" s="8"/>
    </row>
    <row r="77">
      <c r="D77" s="6"/>
      <c r="E77" s="8"/>
      <c r="F77" s="10"/>
      <c r="G77" s="10">
        <f t="shared" si="1"/>
        <v>1403.9</v>
      </c>
      <c r="H77" s="8"/>
      <c r="I77" s="8"/>
    </row>
    <row r="78">
      <c r="D78" s="6"/>
      <c r="E78" s="8"/>
      <c r="F78" s="10"/>
      <c r="G78" s="10">
        <f t="shared" si="1"/>
        <v>1403.9</v>
      </c>
      <c r="H78" s="8"/>
      <c r="I78" s="8"/>
    </row>
    <row r="79">
      <c r="D79" s="6"/>
      <c r="E79" s="8"/>
      <c r="F79" s="10"/>
      <c r="G79" s="10">
        <f t="shared" si="1"/>
        <v>1403.9</v>
      </c>
      <c r="H79" s="8"/>
      <c r="I79" s="8"/>
    </row>
    <row r="80">
      <c r="D80" s="6"/>
      <c r="E80" s="8"/>
      <c r="F80" s="10"/>
      <c r="G80" s="10">
        <f t="shared" si="1"/>
        <v>1403.9</v>
      </c>
      <c r="H80" s="8"/>
      <c r="I80" s="8"/>
    </row>
    <row r="81">
      <c r="D81" s="6"/>
      <c r="E81" s="8"/>
      <c r="F81" s="10"/>
      <c r="G81" s="10">
        <f t="shared" si="1"/>
        <v>1403.9</v>
      </c>
      <c r="H81" s="8"/>
      <c r="I81" s="8"/>
    </row>
    <row r="82">
      <c r="D82" s="6"/>
      <c r="E82" s="8"/>
      <c r="F82" s="10"/>
      <c r="G82" s="10">
        <f t="shared" si="1"/>
        <v>1403.9</v>
      </c>
      <c r="H82" s="8"/>
      <c r="I82" s="8"/>
    </row>
    <row r="83">
      <c r="D83" s="5"/>
      <c r="E83" s="9"/>
      <c r="F83" s="11"/>
      <c r="G83" s="11"/>
      <c r="H83" s="9"/>
      <c r="I83" s="9"/>
    </row>
    <row r="84">
      <c r="D84" s="5"/>
      <c r="E84" s="9"/>
      <c r="F84" s="11"/>
      <c r="G84" s="11"/>
      <c r="H84" s="9"/>
      <c r="I84" s="9"/>
    </row>
    <row r="85">
      <c r="D85" s="5"/>
      <c r="E85" s="9"/>
      <c r="F85" s="11"/>
      <c r="G85" s="11"/>
      <c r="H85" s="9"/>
      <c r="I85" s="9"/>
    </row>
    <row r="86">
      <c r="D86" s="5"/>
      <c r="E86" s="9"/>
      <c r="F86" s="11"/>
      <c r="G86" s="11"/>
      <c r="H86" s="9"/>
      <c r="I86" s="9"/>
    </row>
    <row r="87">
      <c r="D87" s="5"/>
      <c r="E87" s="9"/>
      <c r="F87" s="11"/>
      <c r="G87" s="11"/>
      <c r="H87" s="9"/>
      <c r="I87" s="9"/>
    </row>
    <row r="88">
      <c r="D88" s="5"/>
      <c r="E88" s="9"/>
      <c r="F88" s="11"/>
      <c r="G88" s="11"/>
      <c r="H88" s="9"/>
      <c r="I88" s="9"/>
    </row>
    <row r="89">
      <c r="D89" s="5"/>
      <c r="E89" s="9"/>
      <c r="F89" s="11"/>
      <c r="G89" s="11"/>
      <c r="H89" s="9"/>
      <c r="I89" s="9"/>
    </row>
    <row r="90">
      <c r="D90" s="5"/>
      <c r="E90" s="9"/>
      <c r="F90" s="11"/>
      <c r="G90" s="11"/>
      <c r="H90" s="9"/>
      <c r="I90" s="9"/>
    </row>
    <row r="91">
      <c r="D91" s="5"/>
      <c r="E91" s="9"/>
      <c r="F91" s="11"/>
      <c r="G91" s="11"/>
      <c r="H91" s="9"/>
      <c r="I91" s="9"/>
    </row>
    <row r="92">
      <c r="D92" s="5"/>
      <c r="E92" s="9"/>
      <c r="F92" s="11"/>
      <c r="G92" s="11"/>
      <c r="H92" s="9"/>
      <c r="I92" s="9"/>
    </row>
    <row r="93">
      <c r="D93" s="5"/>
      <c r="E93" s="9"/>
      <c r="F93" s="11"/>
      <c r="G93" s="11"/>
      <c r="H93" s="9"/>
      <c r="I93" s="9"/>
    </row>
    <row r="94">
      <c r="D94" s="5"/>
      <c r="E94" s="9"/>
      <c r="F94" s="11"/>
      <c r="G94" s="11"/>
      <c r="H94" s="9"/>
      <c r="I94" s="9"/>
    </row>
    <row r="95">
      <c r="D95" s="5"/>
      <c r="E95" s="9"/>
      <c r="F95" s="11"/>
      <c r="G95" s="11"/>
      <c r="H95" s="9"/>
      <c r="I95" s="9"/>
    </row>
    <row r="96">
      <c r="D96" s="5"/>
      <c r="E96" s="9"/>
      <c r="F96" s="11"/>
      <c r="G96" s="11"/>
      <c r="H96" s="9"/>
      <c r="I96" s="9"/>
    </row>
    <row r="97">
      <c r="D97" s="5"/>
      <c r="E97" s="9"/>
      <c r="F97" s="11"/>
      <c r="G97" s="11"/>
      <c r="H97" s="9"/>
      <c r="I97" s="9"/>
    </row>
    <row r="98">
      <c r="D98" s="5"/>
      <c r="E98" s="9"/>
      <c r="F98" s="11"/>
      <c r="G98" s="11"/>
      <c r="H98" s="9"/>
      <c r="I98" s="9"/>
    </row>
    <row r="99">
      <c r="D99" s="5"/>
      <c r="E99" s="9"/>
      <c r="F99" s="11"/>
      <c r="G99" s="11"/>
      <c r="H99" s="9"/>
      <c r="I99" s="9"/>
    </row>
    <row r="100">
      <c r="D100" s="5"/>
      <c r="E100" s="9"/>
      <c r="F100" s="11"/>
      <c r="G100" s="11"/>
      <c r="H100" s="9"/>
      <c r="I100" s="9"/>
    </row>
    <row r="101">
      <c r="D101" s="5"/>
      <c r="E101" s="9"/>
      <c r="F101" s="11"/>
      <c r="G101" s="11"/>
      <c r="H101" s="9"/>
      <c r="I101" s="9"/>
    </row>
  </sheetData>
  <mergeCells count="2">
    <mergeCell ref="E1:H1"/>
    <mergeCell ref="K1:M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5.0"/>
    <col customWidth="1" min="4" max="4" width="9.88"/>
    <col customWidth="1" min="5" max="5" width="16.88"/>
    <col customWidth="1" min="6" max="6" width="11.25"/>
    <col customWidth="1" min="7" max="7" width="15.25"/>
    <col customWidth="1" min="8" max="8" width="15.75"/>
    <col customWidth="1" min="9" max="9" width="4.5"/>
    <col customWidth="1" min="11" max="11" width="7.88"/>
  </cols>
  <sheetData>
    <row r="1">
      <c r="E1" s="1" t="s">
        <v>25</v>
      </c>
      <c r="J1" s="1" t="s">
        <v>26</v>
      </c>
    </row>
    <row r="2">
      <c r="A2" s="3"/>
      <c r="B2" s="17">
        <v>0.0</v>
      </c>
      <c r="C2" s="3"/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J2" s="18" t="s">
        <v>3</v>
      </c>
      <c r="K2" s="18" t="s">
        <v>4</v>
      </c>
      <c r="L2" s="18" t="s">
        <v>28</v>
      </c>
    </row>
    <row r="3">
      <c r="A3" s="5"/>
      <c r="B3" s="5"/>
      <c r="C3" s="5"/>
      <c r="D3" s="6"/>
      <c r="E3" s="8" t="s">
        <v>29</v>
      </c>
      <c r="F3" s="10">
        <v>519.99</v>
      </c>
      <c r="G3" s="10">
        <v>519.99</v>
      </c>
      <c r="H3" s="8"/>
      <c r="J3" s="7"/>
      <c r="K3" s="7"/>
      <c r="L3" s="7"/>
    </row>
    <row r="4">
      <c r="A4" s="12"/>
      <c r="B4" s="12"/>
      <c r="C4" s="12"/>
      <c r="D4" s="6">
        <v>25235.0</v>
      </c>
      <c r="E4" s="8" t="s">
        <v>10</v>
      </c>
      <c r="F4" s="10">
        <v>15000.0</v>
      </c>
      <c r="G4" s="10">
        <f t="shared" ref="G4:G82" si="1">G3+F4</f>
        <v>15519.99</v>
      </c>
      <c r="H4" s="8"/>
      <c r="J4" s="7"/>
      <c r="K4" s="7"/>
      <c r="L4" s="19"/>
    </row>
    <row r="5">
      <c r="A5" s="12"/>
      <c r="B5" s="12"/>
      <c r="C5" s="12"/>
      <c r="D5" s="6"/>
      <c r="E5" s="8" t="s">
        <v>41</v>
      </c>
      <c r="F5" s="10">
        <v>-11913.51</v>
      </c>
      <c r="G5" s="10">
        <f t="shared" si="1"/>
        <v>3606.48</v>
      </c>
      <c r="H5" s="8"/>
      <c r="J5" s="7"/>
      <c r="K5" s="7"/>
      <c r="L5" s="19"/>
    </row>
    <row r="6">
      <c r="A6" s="12"/>
      <c r="B6" s="12"/>
      <c r="C6" s="12"/>
      <c r="D6" s="6">
        <v>25236.0</v>
      </c>
      <c r="E6" s="8" t="s">
        <v>10</v>
      </c>
      <c r="F6" s="10">
        <v>10000.0</v>
      </c>
      <c r="G6" s="10">
        <f t="shared" si="1"/>
        <v>13606.48</v>
      </c>
      <c r="H6" s="8"/>
      <c r="J6" s="7"/>
      <c r="K6" s="7"/>
      <c r="L6" s="19"/>
    </row>
    <row r="7">
      <c r="A7" s="12"/>
      <c r="B7" s="12"/>
      <c r="C7" s="12"/>
      <c r="D7" s="6"/>
      <c r="E7" s="8" t="s">
        <v>41</v>
      </c>
      <c r="F7" s="10">
        <v>-11958.18</v>
      </c>
      <c r="G7" s="10">
        <f t="shared" si="1"/>
        <v>1648.3</v>
      </c>
      <c r="H7" s="8"/>
      <c r="J7" s="7"/>
      <c r="K7" s="7"/>
      <c r="L7" s="19"/>
    </row>
    <row r="8">
      <c r="A8" s="12"/>
      <c r="B8" s="12"/>
      <c r="C8" s="12"/>
      <c r="D8" s="6">
        <v>25237.0</v>
      </c>
      <c r="E8" s="8" t="s">
        <v>10</v>
      </c>
      <c r="F8" s="10">
        <v>10000.0</v>
      </c>
      <c r="G8" s="10">
        <f t="shared" si="1"/>
        <v>11648.3</v>
      </c>
      <c r="H8" s="8"/>
      <c r="J8" s="7"/>
      <c r="K8" s="7"/>
      <c r="L8" s="19"/>
    </row>
    <row r="9">
      <c r="A9" s="12"/>
      <c r="B9" s="12"/>
      <c r="C9" s="12"/>
      <c r="D9" s="6"/>
      <c r="E9" s="8" t="s">
        <v>41</v>
      </c>
      <c r="F9" s="10">
        <v>-8286.69</v>
      </c>
      <c r="G9" s="10">
        <f t="shared" si="1"/>
        <v>3361.61</v>
      </c>
      <c r="H9" s="8"/>
      <c r="J9" s="7"/>
      <c r="K9" s="7"/>
      <c r="L9" s="19"/>
    </row>
    <row r="10">
      <c r="A10" s="12"/>
      <c r="B10" s="12"/>
      <c r="C10" s="12"/>
      <c r="D10" s="6">
        <v>25238.0</v>
      </c>
      <c r="E10" s="8" t="s">
        <v>10</v>
      </c>
      <c r="F10" s="10">
        <v>10000.0</v>
      </c>
      <c r="G10" s="10">
        <f t="shared" si="1"/>
        <v>13361.61</v>
      </c>
      <c r="H10" s="8"/>
      <c r="J10" s="12"/>
      <c r="K10" s="12"/>
      <c r="L10" s="12"/>
    </row>
    <row r="11">
      <c r="A11" s="12"/>
      <c r="B11" s="12"/>
      <c r="C11" s="12"/>
      <c r="D11" s="6"/>
      <c r="E11" s="8" t="s">
        <v>41</v>
      </c>
      <c r="F11" s="10">
        <v>-6535.48</v>
      </c>
      <c r="G11" s="10">
        <f t="shared" si="1"/>
        <v>6826.13</v>
      </c>
      <c r="H11" s="8"/>
      <c r="J11" s="12"/>
      <c r="K11" s="12"/>
      <c r="L11" s="12"/>
    </row>
    <row r="12">
      <c r="A12" s="12"/>
      <c r="B12" s="12"/>
      <c r="C12" s="12"/>
      <c r="D12" s="6">
        <v>25239.0</v>
      </c>
      <c r="E12" s="8" t="s">
        <v>10</v>
      </c>
      <c r="F12" s="10">
        <v>5000.0</v>
      </c>
      <c r="G12" s="10">
        <f t="shared" si="1"/>
        <v>11826.13</v>
      </c>
      <c r="H12" s="8"/>
      <c r="J12" s="12"/>
      <c r="K12" s="12"/>
      <c r="L12" s="12"/>
    </row>
    <row r="13">
      <c r="A13" s="12"/>
      <c r="B13" s="12"/>
      <c r="C13" s="12"/>
      <c r="D13" s="6"/>
      <c r="E13" s="8" t="s">
        <v>41</v>
      </c>
      <c r="F13" s="10">
        <v>-7404.81</v>
      </c>
      <c r="G13" s="10">
        <f t="shared" si="1"/>
        <v>4421.32</v>
      </c>
      <c r="H13" s="8"/>
      <c r="J13" s="12"/>
      <c r="K13" s="12"/>
      <c r="L13" s="12"/>
    </row>
    <row r="14">
      <c r="A14" s="12"/>
      <c r="B14" s="12"/>
      <c r="C14" s="12"/>
      <c r="D14" s="6">
        <v>25240.0</v>
      </c>
      <c r="E14" s="8" t="s">
        <v>10</v>
      </c>
      <c r="F14" s="10">
        <v>10000.0</v>
      </c>
      <c r="G14" s="10">
        <f t="shared" si="1"/>
        <v>14421.32</v>
      </c>
      <c r="H14" s="8"/>
    </row>
    <row r="15">
      <c r="A15" s="12"/>
      <c r="B15" s="12"/>
      <c r="C15" s="12"/>
      <c r="D15" s="6"/>
      <c r="E15" s="8" t="s">
        <v>41</v>
      </c>
      <c r="F15" s="10">
        <v>-8406.78</v>
      </c>
      <c r="G15" s="10">
        <f t="shared" si="1"/>
        <v>6014.54</v>
      </c>
      <c r="H15" s="8"/>
    </row>
    <row r="16">
      <c r="A16" s="12"/>
      <c r="B16" s="12"/>
      <c r="C16" s="12"/>
      <c r="D16" s="6">
        <v>25241.0</v>
      </c>
      <c r="E16" s="8" t="s">
        <v>10</v>
      </c>
      <c r="F16" s="10">
        <v>10000.0</v>
      </c>
      <c r="G16" s="10">
        <f t="shared" si="1"/>
        <v>16014.54</v>
      </c>
      <c r="H16" s="8"/>
    </row>
    <row r="17">
      <c r="A17" s="12"/>
      <c r="B17" s="12"/>
      <c r="C17" s="12"/>
      <c r="D17" s="6"/>
      <c r="E17" s="8" t="s">
        <v>41</v>
      </c>
      <c r="F17" s="10">
        <v>-11283.42</v>
      </c>
      <c r="G17" s="10">
        <f t="shared" si="1"/>
        <v>4731.12</v>
      </c>
      <c r="H17" s="8"/>
    </row>
    <row r="18">
      <c r="A18" s="12"/>
      <c r="B18" s="12"/>
      <c r="C18" s="12"/>
      <c r="D18" s="6">
        <v>25242.0</v>
      </c>
      <c r="E18" s="8" t="s">
        <v>10</v>
      </c>
      <c r="F18" s="10">
        <v>10000.0</v>
      </c>
      <c r="G18" s="10">
        <f t="shared" si="1"/>
        <v>14731.12</v>
      </c>
      <c r="H18" s="8"/>
    </row>
    <row r="19">
      <c r="A19" s="12"/>
      <c r="B19" s="12"/>
      <c r="C19" s="12"/>
      <c r="D19" s="6"/>
      <c r="E19" s="8" t="s">
        <v>41</v>
      </c>
      <c r="F19" s="10">
        <v>-8763.42</v>
      </c>
      <c r="G19" s="10">
        <f t="shared" si="1"/>
        <v>5967.7</v>
      </c>
      <c r="H19" s="8"/>
    </row>
    <row r="20">
      <c r="A20" s="12"/>
      <c r="B20" s="12"/>
      <c r="C20" s="12"/>
      <c r="D20" s="6">
        <v>25243.0</v>
      </c>
      <c r="E20" s="8" t="s">
        <v>10</v>
      </c>
      <c r="F20" s="10">
        <v>15000.0</v>
      </c>
      <c r="G20" s="10">
        <f t="shared" si="1"/>
        <v>20967.7</v>
      </c>
      <c r="H20" s="8"/>
    </row>
    <row r="21">
      <c r="A21" s="12"/>
      <c r="B21" s="12"/>
      <c r="C21" s="12"/>
      <c r="D21" s="6"/>
      <c r="E21" s="8" t="s">
        <v>42</v>
      </c>
      <c r="F21" s="10">
        <v>63.87</v>
      </c>
      <c r="G21" s="10">
        <f t="shared" si="1"/>
        <v>21031.57</v>
      </c>
      <c r="H21" s="8"/>
    </row>
    <row r="22">
      <c r="A22" s="12"/>
      <c r="B22" s="12"/>
      <c r="C22" s="12"/>
      <c r="D22" s="6"/>
      <c r="E22" s="8" t="s">
        <v>41</v>
      </c>
      <c r="F22" s="10">
        <v>-15252.66</v>
      </c>
      <c r="G22" s="10">
        <f t="shared" si="1"/>
        <v>5778.91</v>
      </c>
      <c r="H22" s="8"/>
    </row>
    <row r="23">
      <c r="A23" s="12"/>
      <c r="B23" s="12"/>
      <c r="C23" s="12"/>
      <c r="D23" s="6">
        <v>25244.0</v>
      </c>
      <c r="E23" s="8" t="s">
        <v>10</v>
      </c>
      <c r="F23" s="10">
        <v>10000.0</v>
      </c>
      <c r="G23" s="10">
        <f t="shared" si="1"/>
        <v>15778.91</v>
      </c>
      <c r="H23" s="8"/>
    </row>
    <row r="24">
      <c r="A24" s="12"/>
      <c r="B24" s="12"/>
      <c r="C24" s="12"/>
      <c r="D24" s="6"/>
      <c r="E24" s="8" t="s">
        <v>41</v>
      </c>
      <c r="F24" s="10">
        <v>-12176.17</v>
      </c>
      <c r="G24" s="10">
        <f t="shared" si="1"/>
        <v>3602.74</v>
      </c>
      <c r="H24" s="8"/>
    </row>
    <row r="25">
      <c r="A25" s="12"/>
      <c r="B25" s="12"/>
      <c r="C25" s="12"/>
      <c r="D25" s="6">
        <v>25245.0</v>
      </c>
      <c r="E25" s="8" t="s">
        <v>10</v>
      </c>
      <c r="F25" s="10">
        <v>15000.0</v>
      </c>
      <c r="G25" s="10">
        <f t="shared" si="1"/>
        <v>18602.74</v>
      </c>
      <c r="H25" s="8"/>
    </row>
    <row r="26">
      <c r="A26" s="12"/>
      <c r="B26" s="12"/>
      <c r="C26" s="12"/>
      <c r="D26" s="6"/>
      <c r="E26" s="8" t="s">
        <v>41</v>
      </c>
      <c r="F26" s="10">
        <v>-15054.9</v>
      </c>
      <c r="G26" s="10">
        <f t="shared" si="1"/>
        <v>3547.84</v>
      </c>
      <c r="H26" s="8"/>
    </row>
    <row r="27">
      <c r="A27" s="12"/>
      <c r="B27" s="12"/>
      <c r="C27" s="12"/>
      <c r="D27" s="6">
        <v>25246.0</v>
      </c>
      <c r="E27" s="8" t="s">
        <v>10</v>
      </c>
      <c r="F27" s="10">
        <v>15000.0</v>
      </c>
      <c r="G27" s="10">
        <f t="shared" si="1"/>
        <v>18547.84</v>
      </c>
      <c r="H27" s="8"/>
    </row>
    <row r="28">
      <c r="D28" s="6"/>
      <c r="E28" s="8" t="s">
        <v>41</v>
      </c>
      <c r="F28" s="10">
        <v>-12480.64</v>
      </c>
      <c r="G28" s="10">
        <f t="shared" si="1"/>
        <v>6067.2</v>
      </c>
      <c r="H28" s="8"/>
    </row>
    <row r="29">
      <c r="D29" s="6">
        <v>25247.0</v>
      </c>
      <c r="E29" s="8" t="s">
        <v>10</v>
      </c>
      <c r="F29" s="10">
        <v>20000.0</v>
      </c>
      <c r="G29" s="10">
        <f t="shared" si="1"/>
        <v>26067.2</v>
      </c>
      <c r="H29" s="8"/>
    </row>
    <row r="30">
      <c r="D30" s="6"/>
      <c r="E30" s="8" t="s">
        <v>41</v>
      </c>
      <c r="F30" s="10">
        <v>-22747.22</v>
      </c>
      <c r="G30" s="10">
        <f t="shared" si="1"/>
        <v>3319.98</v>
      </c>
      <c r="H30" s="8"/>
    </row>
    <row r="31">
      <c r="D31" s="6">
        <v>25248.0</v>
      </c>
      <c r="E31" s="8" t="s">
        <v>10</v>
      </c>
      <c r="F31" s="10">
        <v>20000.0</v>
      </c>
      <c r="G31" s="10">
        <f t="shared" si="1"/>
        <v>23319.98</v>
      </c>
      <c r="H31" s="8"/>
    </row>
    <row r="32">
      <c r="D32" s="6"/>
      <c r="E32" s="8" t="s">
        <v>41</v>
      </c>
      <c r="F32" s="10">
        <v>-17970.61</v>
      </c>
      <c r="G32" s="10">
        <f t="shared" si="1"/>
        <v>5349.37</v>
      </c>
      <c r="H32" s="8"/>
    </row>
    <row r="33">
      <c r="D33" s="6">
        <v>25249.0</v>
      </c>
      <c r="E33" s="8" t="s">
        <v>10</v>
      </c>
      <c r="F33" s="10">
        <v>15000.0</v>
      </c>
      <c r="G33" s="10">
        <f t="shared" si="1"/>
        <v>20349.37</v>
      </c>
      <c r="H33" s="8"/>
    </row>
    <row r="34">
      <c r="D34" s="6"/>
      <c r="E34" s="8" t="s">
        <v>41</v>
      </c>
      <c r="F34" s="10">
        <v>-4689.21</v>
      </c>
      <c r="G34" s="10">
        <f t="shared" si="1"/>
        <v>15660.16</v>
      </c>
      <c r="H34" s="8"/>
    </row>
    <row r="35">
      <c r="D35" s="6"/>
      <c r="E35" s="8" t="s">
        <v>43</v>
      </c>
      <c r="F35" s="10">
        <v>-7809.47</v>
      </c>
      <c r="G35" s="10">
        <f t="shared" si="1"/>
        <v>7850.69</v>
      </c>
      <c r="H35" s="8"/>
    </row>
    <row r="36">
      <c r="D36" s="6">
        <v>25250.0</v>
      </c>
      <c r="E36" s="8" t="s">
        <v>10</v>
      </c>
      <c r="F36" s="10">
        <v>15000.0</v>
      </c>
      <c r="G36" s="10">
        <f t="shared" si="1"/>
        <v>22850.69</v>
      </c>
      <c r="H36" s="8"/>
    </row>
    <row r="37">
      <c r="D37" s="6"/>
      <c r="E37" s="8" t="s">
        <v>43</v>
      </c>
      <c r="F37" s="10">
        <v>-19426.0</v>
      </c>
      <c r="G37" s="10">
        <f t="shared" si="1"/>
        <v>3424.69</v>
      </c>
      <c r="H37" s="8"/>
    </row>
    <row r="38">
      <c r="D38" s="6"/>
      <c r="E38" s="8"/>
      <c r="F38" s="10"/>
      <c r="G38" s="10">
        <f t="shared" si="1"/>
        <v>3424.69</v>
      </c>
      <c r="H38" s="8"/>
    </row>
    <row r="39">
      <c r="D39" s="6"/>
      <c r="E39" s="8"/>
      <c r="F39" s="10"/>
      <c r="G39" s="10">
        <f t="shared" si="1"/>
        <v>3424.69</v>
      </c>
      <c r="H39" s="8"/>
    </row>
    <row r="40">
      <c r="D40" s="6"/>
      <c r="E40" s="8"/>
      <c r="F40" s="10"/>
      <c r="G40" s="10">
        <f t="shared" si="1"/>
        <v>3424.69</v>
      </c>
      <c r="H40" s="8"/>
    </row>
    <row r="41">
      <c r="D41" s="6"/>
      <c r="E41" s="8"/>
      <c r="F41" s="10"/>
      <c r="G41" s="10">
        <f t="shared" si="1"/>
        <v>3424.69</v>
      </c>
      <c r="H41" s="8"/>
    </row>
    <row r="42">
      <c r="D42" s="6"/>
      <c r="E42" s="8"/>
      <c r="F42" s="10"/>
      <c r="G42" s="10">
        <f t="shared" si="1"/>
        <v>3424.69</v>
      </c>
      <c r="H42" s="8"/>
    </row>
    <row r="43">
      <c r="D43" s="6"/>
      <c r="E43" s="8"/>
      <c r="F43" s="10"/>
      <c r="G43" s="10">
        <f t="shared" si="1"/>
        <v>3424.69</v>
      </c>
      <c r="H43" s="8"/>
    </row>
    <row r="44">
      <c r="D44" s="6"/>
      <c r="E44" s="8"/>
      <c r="F44" s="10"/>
      <c r="G44" s="10">
        <f t="shared" si="1"/>
        <v>3424.69</v>
      </c>
      <c r="H44" s="8"/>
    </row>
    <row r="45">
      <c r="D45" s="6"/>
      <c r="E45" s="8"/>
      <c r="F45" s="10"/>
      <c r="G45" s="10">
        <f t="shared" si="1"/>
        <v>3424.69</v>
      </c>
      <c r="H45" s="8"/>
    </row>
    <row r="46">
      <c r="D46" s="6"/>
      <c r="E46" s="8"/>
      <c r="F46" s="10"/>
      <c r="G46" s="10">
        <f t="shared" si="1"/>
        <v>3424.69</v>
      </c>
      <c r="H46" s="8"/>
    </row>
    <row r="47">
      <c r="D47" s="6"/>
      <c r="E47" s="8"/>
      <c r="F47" s="10"/>
      <c r="G47" s="10">
        <f t="shared" si="1"/>
        <v>3424.69</v>
      </c>
      <c r="H47" s="8"/>
    </row>
    <row r="48">
      <c r="D48" s="6"/>
      <c r="E48" s="8"/>
      <c r="F48" s="10"/>
      <c r="G48" s="10">
        <f t="shared" si="1"/>
        <v>3424.69</v>
      </c>
      <c r="H48" s="8"/>
    </row>
    <row r="49">
      <c r="D49" s="6"/>
      <c r="E49" s="8"/>
      <c r="F49" s="10"/>
      <c r="G49" s="10">
        <f t="shared" si="1"/>
        <v>3424.69</v>
      </c>
      <c r="H49" s="8"/>
    </row>
    <row r="50">
      <c r="D50" s="6"/>
      <c r="E50" s="8"/>
      <c r="F50" s="10"/>
      <c r="G50" s="10">
        <f t="shared" si="1"/>
        <v>3424.69</v>
      </c>
      <c r="H50" s="8"/>
    </row>
    <row r="51">
      <c r="D51" s="6"/>
      <c r="E51" s="8"/>
      <c r="F51" s="10"/>
      <c r="G51" s="10">
        <f t="shared" si="1"/>
        <v>3424.69</v>
      </c>
      <c r="H51" s="8"/>
    </row>
    <row r="52">
      <c r="D52" s="6"/>
      <c r="E52" s="8"/>
      <c r="F52" s="10"/>
      <c r="G52" s="10">
        <f t="shared" si="1"/>
        <v>3424.69</v>
      </c>
      <c r="H52" s="8"/>
    </row>
    <row r="53">
      <c r="D53" s="6"/>
      <c r="E53" s="8"/>
      <c r="F53" s="10"/>
      <c r="G53" s="10">
        <f t="shared" si="1"/>
        <v>3424.69</v>
      </c>
      <c r="H53" s="8"/>
    </row>
    <row r="54">
      <c r="D54" s="6"/>
      <c r="E54" s="8"/>
      <c r="F54" s="10"/>
      <c r="G54" s="10">
        <f t="shared" si="1"/>
        <v>3424.69</v>
      </c>
      <c r="H54" s="8"/>
    </row>
    <row r="55">
      <c r="D55" s="6"/>
      <c r="E55" s="8"/>
      <c r="F55" s="10"/>
      <c r="G55" s="10">
        <f t="shared" si="1"/>
        <v>3424.69</v>
      </c>
      <c r="H55" s="8"/>
    </row>
    <row r="56">
      <c r="D56" s="14"/>
      <c r="E56" s="8"/>
      <c r="F56" s="10"/>
      <c r="G56" s="10">
        <f t="shared" si="1"/>
        <v>3424.69</v>
      </c>
      <c r="H56" s="8"/>
    </row>
    <row r="57">
      <c r="D57" s="6"/>
      <c r="E57" s="8"/>
      <c r="F57" s="10"/>
      <c r="G57" s="10">
        <f t="shared" si="1"/>
        <v>3424.69</v>
      </c>
      <c r="H57" s="8"/>
    </row>
    <row r="58">
      <c r="D58" s="6"/>
      <c r="E58" s="8"/>
      <c r="F58" s="10"/>
      <c r="G58" s="10">
        <f t="shared" si="1"/>
        <v>3424.69</v>
      </c>
      <c r="H58" s="8"/>
    </row>
    <row r="59">
      <c r="D59" s="6"/>
      <c r="E59" s="8"/>
      <c r="F59" s="10"/>
      <c r="G59" s="10">
        <f t="shared" si="1"/>
        <v>3424.69</v>
      </c>
      <c r="H59" s="8"/>
    </row>
    <row r="60">
      <c r="D60" s="6"/>
      <c r="E60" s="8"/>
      <c r="F60" s="10"/>
      <c r="G60" s="10">
        <f t="shared" si="1"/>
        <v>3424.69</v>
      </c>
      <c r="H60" s="8"/>
    </row>
    <row r="61">
      <c r="D61" s="6"/>
      <c r="E61" s="8"/>
      <c r="F61" s="10"/>
      <c r="G61" s="10">
        <f t="shared" si="1"/>
        <v>3424.69</v>
      </c>
      <c r="H61" s="8"/>
    </row>
    <row r="62">
      <c r="D62" s="6"/>
      <c r="E62" s="8"/>
      <c r="F62" s="10"/>
      <c r="G62" s="10">
        <f t="shared" si="1"/>
        <v>3424.69</v>
      </c>
      <c r="H62" s="8"/>
    </row>
    <row r="63">
      <c r="D63" s="6"/>
      <c r="E63" s="8"/>
      <c r="F63" s="10"/>
      <c r="G63" s="10">
        <f t="shared" si="1"/>
        <v>3424.69</v>
      </c>
      <c r="H63" s="8"/>
    </row>
    <row r="64">
      <c r="D64" s="14"/>
      <c r="E64" s="8"/>
      <c r="F64" s="10"/>
      <c r="G64" s="10">
        <f t="shared" si="1"/>
        <v>3424.69</v>
      </c>
      <c r="H64" s="8"/>
    </row>
    <row r="65">
      <c r="D65" s="6"/>
      <c r="E65" s="8"/>
      <c r="F65" s="10"/>
      <c r="G65" s="10">
        <f t="shared" si="1"/>
        <v>3424.69</v>
      </c>
      <c r="H65" s="8"/>
    </row>
    <row r="66">
      <c r="D66" s="6"/>
      <c r="E66" s="8"/>
      <c r="F66" s="10"/>
      <c r="G66" s="10">
        <f t="shared" si="1"/>
        <v>3424.69</v>
      </c>
      <c r="H66" s="8"/>
    </row>
    <row r="67">
      <c r="D67" s="6"/>
      <c r="E67" s="8"/>
      <c r="F67" s="10"/>
      <c r="G67" s="10">
        <f t="shared" si="1"/>
        <v>3424.69</v>
      </c>
      <c r="H67" s="8"/>
    </row>
    <row r="68">
      <c r="D68" s="6"/>
      <c r="E68" s="8"/>
      <c r="F68" s="10"/>
      <c r="G68" s="10">
        <f t="shared" si="1"/>
        <v>3424.69</v>
      </c>
      <c r="H68" s="8"/>
    </row>
    <row r="69">
      <c r="D69" s="6"/>
      <c r="E69" s="8"/>
      <c r="F69" s="10"/>
      <c r="G69" s="10">
        <f t="shared" si="1"/>
        <v>3424.69</v>
      </c>
      <c r="H69" s="8"/>
    </row>
    <row r="70">
      <c r="D70" s="6"/>
      <c r="E70" s="8"/>
      <c r="F70" s="10"/>
      <c r="G70" s="10">
        <f t="shared" si="1"/>
        <v>3424.69</v>
      </c>
      <c r="H70" s="8"/>
    </row>
    <row r="71">
      <c r="D71" s="6"/>
      <c r="E71" s="8"/>
      <c r="F71" s="10"/>
      <c r="G71" s="10">
        <f t="shared" si="1"/>
        <v>3424.69</v>
      </c>
      <c r="H71" s="8"/>
    </row>
    <row r="72">
      <c r="D72" s="6"/>
      <c r="E72" s="8"/>
      <c r="F72" s="10"/>
      <c r="G72" s="10">
        <f t="shared" si="1"/>
        <v>3424.69</v>
      </c>
      <c r="H72" s="8"/>
    </row>
    <row r="73">
      <c r="D73" s="6"/>
      <c r="E73" s="8"/>
      <c r="F73" s="10"/>
      <c r="G73" s="10">
        <f t="shared" si="1"/>
        <v>3424.69</v>
      </c>
      <c r="H73" s="8"/>
    </row>
    <row r="74">
      <c r="D74" s="6"/>
      <c r="E74" s="8"/>
      <c r="F74" s="10"/>
      <c r="G74" s="10">
        <f t="shared" si="1"/>
        <v>3424.69</v>
      </c>
      <c r="H74" s="8"/>
    </row>
    <row r="75">
      <c r="D75" s="6"/>
      <c r="E75" s="8"/>
      <c r="F75" s="10"/>
      <c r="G75" s="10">
        <f t="shared" si="1"/>
        <v>3424.69</v>
      </c>
      <c r="H75" s="8"/>
    </row>
    <row r="76">
      <c r="D76" s="6"/>
      <c r="E76" s="8"/>
      <c r="F76" s="10"/>
      <c r="G76" s="10">
        <f t="shared" si="1"/>
        <v>3424.69</v>
      </c>
      <c r="H76" s="8"/>
    </row>
    <row r="77">
      <c r="D77" s="6"/>
      <c r="E77" s="8"/>
      <c r="F77" s="10"/>
      <c r="G77" s="10">
        <f t="shared" si="1"/>
        <v>3424.69</v>
      </c>
      <c r="H77" s="8"/>
    </row>
    <row r="78">
      <c r="D78" s="6"/>
      <c r="E78" s="8"/>
      <c r="F78" s="10"/>
      <c r="G78" s="10">
        <f t="shared" si="1"/>
        <v>3424.69</v>
      </c>
      <c r="H78" s="8"/>
    </row>
    <row r="79">
      <c r="D79" s="6"/>
      <c r="E79" s="8"/>
      <c r="F79" s="10"/>
      <c r="G79" s="10">
        <f t="shared" si="1"/>
        <v>3424.69</v>
      </c>
      <c r="H79" s="8"/>
    </row>
    <row r="80">
      <c r="D80" s="6"/>
      <c r="E80" s="8"/>
      <c r="F80" s="10"/>
      <c r="G80" s="10">
        <f t="shared" si="1"/>
        <v>3424.69</v>
      </c>
      <c r="H80" s="8"/>
    </row>
    <row r="81">
      <c r="D81" s="6"/>
      <c r="E81" s="8"/>
      <c r="F81" s="10"/>
      <c r="G81" s="10">
        <f t="shared" si="1"/>
        <v>3424.69</v>
      </c>
      <c r="H81" s="8"/>
    </row>
    <row r="82">
      <c r="D82" s="6"/>
      <c r="E82" s="8"/>
      <c r="F82" s="10"/>
      <c r="G82" s="10">
        <f t="shared" si="1"/>
        <v>3424.69</v>
      </c>
      <c r="H82" s="8"/>
    </row>
  </sheetData>
  <mergeCells count="2">
    <mergeCell ref="E1:G1"/>
    <mergeCell ref="J1:L1"/>
  </mergeCells>
  <dataValidations>
    <dataValidation type="list" allowBlank="1" showErrorMessage="1" sqref="H3:H82">
      <formula1>"โอนเข้าบัญชี,ตัดบัตร"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5.0"/>
    <col customWidth="1" min="4" max="4" width="10.75"/>
    <col customWidth="1" min="5" max="5" width="15.25"/>
    <col customWidth="1" min="6" max="7" width="11.25"/>
    <col customWidth="1" min="9" max="9" width="15.0"/>
    <col customWidth="1" min="10" max="10" width="4.5"/>
    <col customWidth="1" min="12" max="12" width="7.88"/>
  </cols>
  <sheetData>
    <row r="1">
      <c r="E1" s="1" t="s">
        <v>25</v>
      </c>
      <c r="K1" s="1" t="s">
        <v>26</v>
      </c>
    </row>
    <row r="2">
      <c r="A2" s="3"/>
      <c r="B2" s="17">
        <v>0.0</v>
      </c>
      <c r="C2" s="3"/>
      <c r="D2" s="4" t="s">
        <v>2</v>
      </c>
      <c r="E2" s="4" t="s">
        <v>3</v>
      </c>
      <c r="F2" s="4" t="s">
        <v>4</v>
      </c>
      <c r="G2" s="4" t="s">
        <v>5</v>
      </c>
      <c r="H2" s="4" t="s">
        <v>27</v>
      </c>
      <c r="I2" s="4" t="s">
        <v>6</v>
      </c>
      <c r="K2" s="18" t="s">
        <v>3</v>
      </c>
      <c r="L2" s="18" t="s">
        <v>4</v>
      </c>
      <c r="M2" s="18" t="s">
        <v>28</v>
      </c>
    </row>
    <row r="3">
      <c r="A3" s="5"/>
      <c r="C3" s="5"/>
      <c r="D3" s="6"/>
      <c r="E3" s="8" t="s">
        <v>8</v>
      </c>
      <c r="F3" s="10">
        <v>2847.57</v>
      </c>
      <c r="G3" s="10">
        <v>2847.57</v>
      </c>
      <c r="H3" s="8"/>
      <c r="I3" s="8"/>
      <c r="K3" s="7" t="s">
        <v>30</v>
      </c>
      <c r="L3" s="7">
        <v>1.0</v>
      </c>
      <c r="M3" s="7" t="s">
        <v>31</v>
      </c>
    </row>
    <row r="4">
      <c r="A4" s="12"/>
      <c r="C4" s="12"/>
      <c r="D4" s="6">
        <v>25235.0</v>
      </c>
      <c r="E4" s="8" t="s">
        <v>10</v>
      </c>
      <c r="F4" s="10">
        <v>3000.0</v>
      </c>
      <c r="G4" s="10">
        <f t="shared" ref="G4:G59" si="1">G3+F4</f>
        <v>5847.57</v>
      </c>
      <c r="H4" s="8"/>
      <c r="I4" s="8"/>
      <c r="K4" s="7" t="s">
        <v>33</v>
      </c>
      <c r="L4" s="7">
        <v>2.0</v>
      </c>
      <c r="M4" s="19"/>
    </row>
    <row r="5">
      <c r="A5" s="12"/>
      <c r="B5" s="5"/>
      <c r="C5" s="12"/>
      <c r="D5" s="6"/>
      <c r="E5" s="8" t="s">
        <v>44</v>
      </c>
      <c r="F5" s="10">
        <v>-3091.21</v>
      </c>
      <c r="G5" s="10">
        <f t="shared" si="1"/>
        <v>2756.36</v>
      </c>
      <c r="H5" s="8"/>
      <c r="I5" s="8"/>
      <c r="K5" s="7" t="s">
        <v>34</v>
      </c>
      <c r="L5" s="7">
        <v>1.0</v>
      </c>
      <c r="M5" s="19"/>
    </row>
    <row r="6">
      <c r="A6" s="12"/>
      <c r="B6" s="12"/>
      <c r="C6" s="12"/>
      <c r="D6" s="6">
        <v>25236.0</v>
      </c>
      <c r="E6" s="8" t="s">
        <v>44</v>
      </c>
      <c r="F6" s="10">
        <v>-2472.95</v>
      </c>
      <c r="G6" s="10">
        <f t="shared" si="1"/>
        <v>283.41</v>
      </c>
      <c r="H6" s="8"/>
      <c r="I6" s="8"/>
      <c r="K6" s="7" t="s">
        <v>36</v>
      </c>
      <c r="L6" s="7">
        <v>1.0</v>
      </c>
      <c r="M6" s="19"/>
    </row>
    <row r="7">
      <c r="A7" s="12"/>
      <c r="B7" s="12"/>
      <c r="C7" s="12"/>
      <c r="D7" s="6">
        <v>25237.0</v>
      </c>
      <c r="E7" s="8" t="s">
        <v>10</v>
      </c>
      <c r="F7" s="10">
        <v>4000.0</v>
      </c>
      <c r="G7" s="10">
        <f t="shared" si="1"/>
        <v>4283.41</v>
      </c>
      <c r="H7" s="8"/>
      <c r="I7" s="8"/>
      <c r="K7" s="7" t="s">
        <v>35</v>
      </c>
      <c r="L7" s="7">
        <v>1.0</v>
      </c>
      <c r="M7" s="19"/>
    </row>
    <row r="8">
      <c r="A8" s="12"/>
      <c r="B8" s="12"/>
      <c r="C8" s="12"/>
      <c r="D8" s="6"/>
      <c r="E8" s="8" t="s">
        <v>44</v>
      </c>
      <c r="F8" s="10">
        <v>-2266.62</v>
      </c>
      <c r="G8" s="10">
        <f t="shared" si="1"/>
        <v>2016.79</v>
      </c>
      <c r="H8" s="8"/>
      <c r="I8" s="8"/>
      <c r="K8" s="7" t="s">
        <v>38</v>
      </c>
      <c r="L8" s="7">
        <v>2.0</v>
      </c>
      <c r="M8" s="19"/>
    </row>
    <row r="9">
      <c r="A9" s="12"/>
      <c r="B9" s="12"/>
      <c r="C9" s="12"/>
      <c r="D9" s="6">
        <v>25238.0</v>
      </c>
      <c r="E9" s="8" t="s">
        <v>10</v>
      </c>
      <c r="F9" s="10">
        <v>4000.0</v>
      </c>
      <c r="G9" s="10">
        <f t="shared" si="1"/>
        <v>6016.79</v>
      </c>
      <c r="H9" s="8"/>
      <c r="I9" s="8"/>
      <c r="K9" s="7" t="s">
        <v>39</v>
      </c>
      <c r="L9" s="7">
        <v>1.0</v>
      </c>
      <c r="M9" s="7" t="s">
        <v>45</v>
      </c>
    </row>
    <row r="10">
      <c r="A10" s="12"/>
      <c r="B10" s="12"/>
      <c r="C10" s="12"/>
      <c r="D10" s="6"/>
      <c r="E10" s="8" t="s">
        <v>44</v>
      </c>
      <c r="F10" s="10">
        <v>-2201.25</v>
      </c>
      <c r="G10" s="10">
        <f t="shared" si="1"/>
        <v>3815.54</v>
      </c>
      <c r="H10" s="8"/>
      <c r="I10" s="8"/>
      <c r="K10" s="7" t="s">
        <v>46</v>
      </c>
      <c r="L10" s="7">
        <v>1.0</v>
      </c>
      <c r="M10" s="7" t="s">
        <v>47</v>
      </c>
    </row>
    <row r="11">
      <c r="A11" s="12"/>
      <c r="B11" s="12"/>
      <c r="C11" s="12"/>
      <c r="D11" s="6">
        <v>25239.0</v>
      </c>
      <c r="E11" s="8" t="s">
        <v>44</v>
      </c>
      <c r="F11" s="10">
        <v>-2928.61</v>
      </c>
      <c r="G11" s="10">
        <f t="shared" si="1"/>
        <v>886.93</v>
      </c>
      <c r="H11" s="8"/>
      <c r="I11" s="8"/>
      <c r="K11" s="12"/>
      <c r="L11" s="12"/>
      <c r="M11" s="12"/>
    </row>
    <row r="12">
      <c r="A12" s="12"/>
      <c r="B12" s="12"/>
      <c r="C12" s="12"/>
      <c r="D12" s="6">
        <v>25240.0</v>
      </c>
      <c r="E12" s="8" t="s">
        <v>10</v>
      </c>
      <c r="F12" s="10">
        <v>4000.0</v>
      </c>
      <c r="G12" s="10">
        <f t="shared" si="1"/>
        <v>4886.93</v>
      </c>
      <c r="H12" s="8"/>
      <c r="I12" s="8"/>
      <c r="K12" s="12"/>
      <c r="L12" s="12"/>
      <c r="M12" s="12"/>
    </row>
    <row r="13">
      <c r="A13" s="12"/>
      <c r="B13" s="12"/>
      <c r="C13" s="12"/>
      <c r="D13" s="6"/>
      <c r="E13" s="8" t="s">
        <v>44</v>
      </c>
      <c r="F13" s="10">
        <v>-2276.59</v>
      </c>
      <c r="G13" s="10">
        <f t="shared" si="1"/>
        <v>2610.34</v>
      </c>
      <c r="H13" s="8"/>
      <c r="I13" s="8"/>
      <c r="K13" s="12"/>
      <c r="L13" s="12"/>
      <c r="M13" s="12"/>
    </row>
    <row r="14">
      <c r="A14" s="12"/>
      <c r="B14" s="12"/>
      <c r="C14" s="12"/>
      <c r="D14" s="6"/>
      <c r="E14" s="8" t="s">
        <v>48</v>
      </c>
      <c r="F14" s="10">
        <v>-800.0</v>
      </c>
      <c r="G14" s="10">
        <f t="shared" si="1"/>
        <v>1810.34</v>
      </c>
      <c r="H14" s="8"/>
      <c r="I14" s="8"/>
      <c r="K14" s="12"/>
      <c r="L14" s="12"/>
      <c r="M14" s="12"/>
    </row>
    <row r="15">
      <c r="A15" s="12"/>
      <c r="B15" s="12"/>
      <c r="C15" s="12"/>
      <c r="D15" s="6">
        <v>25241.0</v>
      </c>
      <c r="E15" s="8" t="s">
        <v>10</v>
      </c>
      <c r="F15" s="10">
        <v>4000.0</v>
      </c>
      <c r="G15" s="10">
        <f t="shared" si="1"/>
        <v>5810.34</v>
      </c>
      <c r="H15" s="8"/>
      <c r="I15" s="8"/>
    </row>
    <row r="16">
      <c r="A16" s="12"/>
      <c r="B16" s="12"/>
      <c r="C16" s="12"/>
      <c r="D16" s="6"/>
      <c r="E16" s="8" t="s">
        <v>44</v>
      </c>
      <c r="F16" s="10">
        <v>-1222.29</v>
      </c>
      <c r="G16" s="10">
        <f t="shared" si="1"/>
        <v>4588.05</v>
      </c>
      <c r="H16" s="8"/>
      <c r="I16" s="8"/>
    </row>
    <row r="17">
      <c r="A17" s="12"/>
      <c r="B17" s="12"/>
      <c r="C17" s="12"/>
      <c r="D17" s="6"/>
      <c r="E17" s="8" t="s">
        <v>48</v>
      </c>
      <c r="F17" s="10">
        <v>-800.0</v>
      </c>
      <c r="G17" s="10">
        <f t="shared" si="1"/>
        <v>3788.05</v>
      </c>
      <c r="H17" s="8"/>
      <c r="I17" s="8"/>
    </row>
    <row r="18">
      <c r="A18" s="12"/>
      <c r="B18" s="12"/>
      <c r="C18" s="12"/>
      <c r="D18" s="6">
        <v>25242.0</v>
      </c>
      <c r="E18" s="8" t="s">
        <v>44</v>
      </c>
      <c r="F18" s="10">
        <v>-2833.47</v>
      </c>
      <c r="G18" s="10">
        <f t="shared" si="1"/>
        <v>954.58</v>
      </c>
      <c r="H18" s="8"/>
      <c r="I18" s="8"/>
    </row>
    <row r="19">
      <c r="A19" s="12"/>
      <c r="B19" s="12"/>
      <c r="C19" s="12"/>
      <c r="D19" s="6"/>
      <c r="E19" s="8" t="s">
        <v>48</v>
      </c>
      <c r="F19" s="10">
        <v>-900.0</v>
      </c>
      <c r="G19" s="10">
        <f t="shared" si="1"/>
        <v>54.58</v>
      </c>
      <c r="H19" s="8"/>
      <c r="I19" s="8"/>
    </row>
    <row r="20">
      <c r="A20" s="12"/>
      <c r="B20" s="12"/>
      <c r="C20" s="12"/>
      <c r="D20" s="6">
        <v>25243.0</v>
      </c>
      <c r="E20" s="8" t="s">
        <v>10</v>
      </c>
      <c r="F20" s="10">
        <v>4000.0</v>
      </c>
      <c r="G20" s="10">
        <f t="shared" si="1"/>
        <v>4054.58</v>
      </c>
      <c r="H20" s="8"/>
      <c r="I20" s="8"/>
    </row>
    <row r="21">
      <c r="A21" s="12"/>
      <c r="B21" s="12"/>
      <c r="C21" s="12"/>
      <c r="D21" s="6"/>
      <c r="E21" s="8" t="s">
        <v>44</v>
      </c>
      <c r="F21" s="10">
        <v>-2777.95</v>
      </c>
      <c r="G21" s="10">
        <f t="shared" si="1"/>
        <v>1276.63</v>
      </c>
      <c r="H21" s="8"/>
      <c r="I21" s="8"/>
    </row>
    <row r="22">
      <c r="A22" s="12"/>
      <c r="B22" s="12"/>
      <c r="C22" s="12"/>
      <c r="D22" s="6"/>
      <c r="E22" s="8" t="s">
        <v>48</v>
      </c>
      <c r="F22" s="10">
        <v>-500.0</v>
      </c>
      <c r="G22" s="10">
        <f t="shared" si="1"/>
        <v>776.63</v>
      </c>
      <c r="H22" s="8"/>
      <c r="I22" s="8"/>
    </row>
    <row r="23">
      <c r="A23" s="12"/>
      <c r="B23" s="12"/>
      <c r="C23" s="12"/>
      <c r="D23" s="14">
        <v>25244.0</v>
      </c>
      <c r="E23" s="8" t="s">
        <v>10</v>
      </c>
      <c r="F23" s="10">
        <v>4000.0</v>
      </c>
      <c r="G23" s="10">
        <f t="shared" si="1"/>
        <v>4776.63</v>
      </c>
      <c r="H23" s="8"/>
      <c r="I23" s="8"/>
    </row>
    <row r="24">
      <c r="A24" s="12"/>
      <c r="B24" s="12"/>
      <c r="C24" s="12"/>
      <c r="D24" s="14"/>
      <c r="E24" s="8" t="s">
        <v>44</v>
      </c>
      <c r="F24" s="10">
        <v>-1933.04</v>
      </c>
      <c r="G24" s="10">
        <f t="shared" si="1"/>
        <v>2843.59</v>
      </c>
      <c r="H24" s="8"/>
      <c r="I24" s="8"/>
    </row>
    <row r="25">
      <c r="A25" s="12"/>
      <c r="B25" s="12"/>
      <c r="C25" s="12"/>
      <c r="D25" s="14"/>
      <c r="E25" s="8" t="s">
        <v>48</v>
      </c>
      <c r="F25" s="10">
        <v>-1500.0</v>
      </c>
      <c r="G25" s="10">
        <f t="shared" si="1"/>
        <v>1343.59</v>
      </c>
      <c r="H25" s="8"/>
      <c r="I25" s="8"/>
    </row>
    <row r="26">
      <c r="A26" s="12"/>
      <c r="B26" s="12"/>
      <c r="C26" s="12"/>
      <c r="D26" s="6">
        <v>25245.0</v>
      </c>
      <c r="E26" s="8" t="s">
        <v>10</v>
      </c>
      <c r="F26" s="10">
        <v>4000.0</v>
      </c>
      <c r="G26" s="10">
        <f t="shared" si="1"/>
        <v>5343.59</v>
      </c>
      <c r="H26" s="8"/>
      <c r="I26" s="8"/>
    </row>
    <row r="27">
      <c r="A27" s="12"/>
      <c r="B27" s="12"/>
      <c r="C27" s="12"/>
      <c r="D27" s="14"/>
      <c r="E27" s="8" t="s">
        <v>44</v>
      </c>
      <c r="F27" s="10">
        <v>-2241.71</v>
      </c>
      <c r="G27" s="10">
        <f t="shared" si="1"/>
        <v>3101.88</v>
      </c>
      <c r="H27" s="8"/>
      <c r="I27" s="8"/>
    </row>
    <row r="28">
      <c r="A28" s="12"/>
      <c r="B28" s="12"/>
      <c r="C28" s="12"/>
      <c r="D28" s="6">
        <v>25246.0</v>
      </c>
      <c r="E28" s="8" t="s">
        <v>44</v>
      </c>
      <c r="F28" s="10">
        <v>-2284.26</v>
      </c>
      <c r="G28" s="10">
        <f t="shared" si="1"/>
        <v>817.62</v>
      </c>
      <c r="H28" s="8"/>
      <c r="I28" s="8"/>
    </row>
    <row r="29">
      <c r="B29" s="12"/>
      <c r="D29" s="14">
        <v>25247.0</v>
      </c>
      <c r="E29" s="8" t="s">
        <v>10</v>
      </c>
      <c r="F29" s="10">
        <v>4000.0</v>
      </c>
      <c r="G29" s="10">
        <f t="shared" si="1"/>
        <v>4817.62</v>
      </c>
      <c r="H29" s="8"/>
      <c r="I29" s="8"/>
    </row>
    <row r="30">
      <c r="B30" s="12"/>
      <c r="D30" s="13"/>
      <c r="E30" s="8" t="s">
        <v>44</v>
      </c>
      <c r="F30" s="10">
        <v>-542.24</v>
      </c>
      <c r="G30" s="10">
        <f t="shared" si="1"/>
        <v>4275.38</v>
      </c>
      <c r="H30" s="8"/>
      <c r="I30" s="8"/>
    </row>
    <row r="31">
      <c r="D31" s="14">
        <v>25248.0</v>
      </c>
      <c r="E31" s="8" t="s">
        <v>44</v>
      </c>
      <c r="F31" s="10">
        <v>-3527.28</v>
      </c>
      <c r="G31" s="10">
        <f t="shared" si="1"/>
        <v>748.1</v>
      </c>
      <c r="H31" s="8"/>
      <c r="I31" s="8"/>
    </row>
    <row r="32">
      <c r="D32" s="6">
        <v>25249.0</v>
      </c>
      <c r="E32" s="8" t="s">
        <v>10</v>
      </c>
      <c r="F32" s="10">
        <v>4000.0</v>
      </c>
      <c r="G32" s="10">
        <f t="shared" si="1"/>
        <v>4748.1</v>
      </c>
      <c r="H32" s="8"/>
      <c r="I32" s="8"/>
    </row>
    <row r="33">
      <c r="D33" s="14"/>
      <c r="E33" s="8" t="s">
        <v>44</v>
      </c>
      <c r="F33" s="10">
        <f>-3101.41-350</f>
        <v>-3451.41</v>
      </c>
      <c r="G33" s="10">
        <f t="shared" si="1"/>
        <v>1296.69</v>
      </c>
      <c r="H33" s="8"/>
      <c r="I33" s="8"/>
    </row>
    <row r="34">
      <c r="D34" s="6">
        <v>25250.0</v>
      </c>
      <c r="E34" s="8" t="s">
        <v>10</v>
      </c>
      <c r="F34" s="10">
        <v>5000.0</v>
      </c>
      <c r="G34" s="10">
        <f t="shared" si="1"/>
        <v>6296.69</v>
      </c>
      <c r="H34" s="8"/>
      <c r="I34" s="8"/>
    </row>
    <row r="35">
      <c r="D35" s="14"/>
      <c r="E35" s="8" t="s">
        <v>44</v>
      </c>
      <c r="F35" s="10">
        <v>-1961.47</v>
      </c>
      <c r="G35" s="10">
        <f t="shared" si="1"/>
        <v>4335.22</v>
      </c>
      <c r="H35" s="8"/>
      <c r="I35" s="8"/>
    </row>
    <row r="36">
      <c r="D36" s="13"/>
      <c r="E36" s="8"/>
      <c r="F36" s="10"/>
      <c r="G36" s="10">
        <f t="shared" si="1"/>
        <v>4335.22</v>
      </c>
      <c r="H36" s="8"/>
      <c r="I36" s="8"/>
    </row>
    <row r="37">
      <c r="D37" s="14"/>
      <c r="E37" s="8"/>
      <c r="F37" s="10"/>
      <c r="G37" s="10">
        <f t="shared" si="1"/>
        <v>4335.22</v>
      </c>
      <c r="H37" s="8"/>
      <c r="I37" s="8"/>
    </row>
    <row r="38">
      <c r="D38" s="13"/>
      <c r="E38" s="8"/>
      <c r="F38" s="10"/>
      <c r="G38" s="10">
        <f t="shared" si="1"/>
        <v>4335.22</v>
      </c>
      <c r="H38" s="8"/>
      <c r="I38" s="8"/>
    </row>
    <row r="39">
      <c r="D39" s="14"/>
      <c r="E39" s="8"/>
      <c r="F39" s="10"/>
      <c r="G39" s="10">
        <f t="shared" si="1"/>
        <v>4335.22</v>
      </c>
      <c r="H39" s="8"/>
      <c r="I39" s="8"/>
    </row>
    <row r="40">
      <c r="D40" s="13"/>
      <c r="E40" s="8"/>
      <c r="F40" s="10"/>
      <c r="G40" s="10">
        <f t="shared" si="1"/>
        <v>4335.22</v>
      </c>
      <c r="H40" s="8"/>
      <c r="I40" s="8"/>
    </row>
    <row r="41">
      <c r="D41" s="13"/>
      <c r="E41" s="8"/>
      <c r="F41" s="10"/>
      <c r="G41" s="10">
        <f t="shared" si="1"/>
        <v>4335.22</v>
      </c>
      <c r="H41" s="8"/>
      <c r="I41" s="8"/>
    </row>
    <row r="42">
      <c r="D42" s="14"/>
      <c r="E42" s="8"/>
      <c r="F42" s="10"/>
      <c r="G42" s="10">
        <f t="shared" si="1"/>
        <v>4335.22</v>
      </c>
      <c r="H42" s="8"/>
      <c r="I42" s="8"/>
    </row>
    <row r="43">
      <c r="D43" s="13"/>
      <c r="E43" s="8"/>
      <c r="F43" s="10"/>
      <c r="G43" s="10">
        <f t="shared" si="1"/>
        <v>4335.22</v>
      </c>
      <c r="H43" s="8"/>
      <c r="I43" s="8"/>
    </row>
    <row r="44">
      <c r="D44" s="13"/>
      <c r="E44" s="8"/>
      <c r="F44" s="10"/>
      <c r="G44" s="10">
        <f t="shared" si="1"/>
        <v>4335.22</v>
      </c>
      <c r="H44" s="8"/>
      <c r="I44" s="8"/>
    </row>
    <row r="45">
      <c r="D45" s="13"/>
      <c r="E45" s="8"/>
      <c r="F45" s="10"/>
      <c r="G45" s="10">
        <f t="shared" si="1"/>
        <v>4335.22</v>
      </c>
      <c r="H45" s="8"/>
      <c r="I45" s="8"/>
    </row>
    <row r="46">
      <c r="D46" s="13"/>
      <c r="E46" s="8"/>
      <c r="F46" s="10"/>
      <c r="G46" s="10">
        <f t="shared" si="1"/>
        <v>4335.22</v>
      </c>
      <c r="H46" s="8"/>
      <c r="I46" s="8"/>
    </row>
    <row r="47">
      <c r="D47" s="14"/>
      <c r="E47" s="8"/>
      <c r="F47" s="10"/>
      <c r="G47" s="10">
        <f t="shared" si="1"/>
        <v>4335.22</v>
      </c>
      <c r="H47" s="8"/>
      <c r="I47" s="8"/>
    </row>
    <row r="48">
      <c r="D48" s="13"/>
      <c r="E48" s="8"/>
      <c r="F48" s="10"/>
      <c r="G48" s="10">
        <f t="shared" si="1"/>
        <v>4335.22</v>
      </c>
      <c r="H48" s="8"/>
      <c r="I48" s="8"/>
    </row>
    <row r="49">
      <c r="D49" s="14"/>
      <c r="E49" s="8"/>
      <c r="F49" s="10"/>
      <c r="G49" s="10">
        <f t="shared" si="1"/>
        <v>4335.22</v>
      </c>
      <c r="H49" s="8"/>
      <c r="I49" s="8"/>
    </row>
    <row r="50">
      <c r="D50" s="13"/>
      <c r="E50" s="8"/>
      <c r="F50" s="10"/>
      <c r="G50" s="10">
        <f t="shared" si="1"/>
        <v>4335.22</v>
      </c>
      <c r="H50" s="8"/>
      <c r="I50" s="8"/>
    </row>
    <row r="51">
      <c r="D51" s="13"/>
      <c r="E51" s="8"/>
      <c r="F51" s="10"/>
      <c r="G51" s="10">
        <f t="shared" si="1"/>
        <v>4335.22</v>
      </c>
      <c r="H51" s="8"/>
      <c r="I51" s="8"/>
    </row>
    <row r="52">
      <c r="D52" s="13"/>
      <c r="E52" s="8"/>
      <c r="F52" s="10"/>
      <c r="G52" s="10">
        <f t="shared" si="1"/>
        <v>4335.22</v>
      </c>
      <c r="H52" s="8"/>
      <c r="I52" s="8"/>
    </row>
    <row r="53">
      <c r="D53" s="14"/>
      <c r="E53" s="8"/>
      <c r="F53" s="10"/>
      <c r="G53" s="10">
        <f t="shared" si="1"/>
        <v>4335.22</v>
      </c>
      <c r="H53" s="8"/>
      <c r="I53" s="8"/>
    </row>
    <row r="54">
      <c r="D54" s="13"/>
      <c r="E54" s="8"/>
      <c r="F54" s="10"/>
      <c r="G54" s="10">
        <f t="shared" si="1"/>
        <v>4335.22</v>
      </c>
      <c r="H54" s="8"/>
      <c r="I54" s="8"/>
    </row>
    <row r="55">
      <c r="D55" s="14"/>
      <c r="E55" s="8"/>
      <c r="F55" s="10"/>
      <c r="G55" s="10">
        <f t="shared" si="1"/>
        <v>4335.22</v>
      </c>
      <c r="H55" s="8"/>
      <c r="I55" s="8"/>
    </row>
    <row r="56">
      <c r="D56" s="13"/>
      <c r="E56" s="8"/>
      <c r="F56" s="10"/>
      <c r="G56" s="10">
        <f t="shared" si="1"/>
        <v>4335.22</v>
      </c>
      <c r="H56" s="8"/>
      <c r="I56" s="8"/>
    </row>
    <row r="57">
      <c r="D57" s="13"/>
      <c r="E57" s="8"/>
      <c r="F57" s="10"/>
      <c r="G57" s="10">
        <f t="shared" si="1"/>
        <v>4335.22</v>
      </c>
      <c r="H57" s="8"/>
      <c r="I57" s="8"/>
    </row>
    <row r="58">
      <c r="D58" s="13"/>
      <c r="E58" s="8"/>
      <c r="F58" s="10"/>
      <c r="G58" s="10">
        <f t="shared" si="1"/>
        <v>4335.22</v>
      </c>
      <c r="H58" s="8"/>
      <c r="I58" s="8"/>
    </row>
    <row r="59">
      <c r="D59" s="13"/>
      <c r="E59" s="13"/>
      <c r="F59" s="10"/>
      <c r="G59" s="10">
        <f t="shared" si="1"/>
        <v>4335.22</v>
      </c>
      <c r="H59" s="8"/>
      <c r="I59" s="8"/>
    </row>
  </sheetData>
  <mergeCells count="2">
    <mergeCell ref="E1:H1"/>
    <mergeCell ref="K1:M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.63"/>
    <col customWidth="1" min="3" max="3" width="7.38"/>
    <col customWidth="1" min="4" max="4" width="8.75"/>
    <col customWidth="1" min="5" max="5" width="19.25"/>
    <col customWidth="1" min="6" max="6" width="16.0"/>
    <col customWidth="1" min="9" max="10" width="4.63"/>
    <col customWidth="1" min="18" max="18" width="15.13"/>
  </cols>
  <sheetData>
    <row r="1" ht="21.75" customHeight="1">
      <c r="A1" s="12"/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2"/>
      <c r="J1" s="12"/>
      <c r="K1" s="20" t="s">
        <v>49</v>
      </c>
      <c r="L1" s="20" t="s">
        <v>50</v>
      </c>
      <c r="M1" s="20" t="s">
        <v>55</v>
      </c>
      <c r="N1" s="20" t="s">
        <v>56</v>
      </c>
      <c r="O1" s="20" t="s">
        <v>57</v>
      </c>
      <c r="P1" s="20" t="s">
        <v>58</v>
      </c>
      <c r="Q1" s="20" t="s">
        <v>59</v>
      </c>
      <c r="R1" s="20" t="s">
        <v>60</v>
      </c>
      <c r="S1" s="12"/>
      <c r="T1" s="21"/>
      <c r="W1" s="12"/>
      <c r="X1" s="12"/>
      <c r="Y1" s="12"/>
      <c r="Z1" s="12"/>
      <c r="AA1" s="12"/>
      <c r="AB1" s="12"/>
    </row>
    <row r="2" ht="19.5" customHeight="1">
      <c r="A2" s="12"/>
      <c r="C2" s="22"/>
      <c r="D2" s="22" t="s">
        <v>61</v>
      </c>
      <c r="E2" s="22" t="s">
        <v>62</v>
      </c>
      <c r="F2" s="22">
        <v>8.922409574E9</v>
      </c>
      <c r="G2" s="22" t="s">
        <v>63</v>
      </c>
      <c r="H2" s="22" t="s">
        <v>64</v>
      </c>
      <c r="I2" s="12"/>
      <c r="J2" s="12"/>
      <c r="K2" s="23"/>
      <c r="L2" s="24" t="s">
        <v>61</v>
      </c>
      <c r="M2" s="25">
        <v>20000.0</v>
      </c>
      <c r="N2" s="25">
        <v>1250.0</v>
      </c>
      <c r="O2" s="26">
        <v>-7500.0</v>
      </c>
      <c r="P2" s="25">
        <f t="shared" ref="P2:P3" si="1">M2+N2+O2</f>
        <v>13750</v>
      </c>
      <c r="Q2" s="27" t="s">
        <v>65</v>
      </c>
      <c r="R2" s="28"/>
      <c r="S2" s="12"/>
      <c r="T2" s="21"/>
      <c r="U2" s="21"/>
      <c r="V2" s="21"/>
      <c r="W2" s="12"/>
      <c r="X2" s="12"/>
      <c r="Y2" s="12"/>
      <c r="Z2" s="12"/>
      <c r="AA2" s="12"/>
      <c r="AB2" s="12"/>
    </row>
    <row r="3" ht="19.5" customHeight="1">
      <c r="A3" s="12"/>
      <c r="C3" s="22"/>
      <c r="D3" s="22" t="s">
        <v>66</v>
      </c>
      <c r="E3" s="22" t="s">
        <v>67</v>
      </c>
      <c r="F3" s="22" t="s">
        <v>68</v>
      </c>
      <c r="H3" s="22" t="s">
        <v>64</v>
      </c>
      <c r="I3" s="12"/>
      <c r="J3" s="12"/>
      <c r="K3" s="23"/>
      <c r="L3" s="24" t="s">
        <v>66</v>
      </c>
      <c r="M3" s="25">
        <v>15000.0</v>
      </c>
      <c r="N3" s="25">
        <v>1250.0</v>
      </c>
      <c r="O3" s="26">
        <v>-7500.0</v>
      </c>
      <c r="P3" s="25">
        <f t="shared" si="1"/>
        <v>8750</v>
      </c>
      <c r="Q3" s="27" t="s">
        <v>65</v>
      </c>
      <c r="R3" s="28"/>
      <c r="S3" s="12"/>
      <c r="T3" s="9"/>
      <c r="U3" s="9"/>
      <c r="V3" s="29"/>
      <c r="W3" s="12"/>
      <c r="X3" s="12"/>
      <c r="Y3" s="12"/>
      <c r="Z3" s="12"/>
      <c r="AA3" s="12"/>
      <c r="AB3" s="12"/>
    </row>
    <row r="4" ht="19.5" customHeight="1">
      <c r="A4" s="12"/>
      <c r="C4" s="22"/>
      <c r="D4" s="22" t="s">
        <v>69</v>
      </c>
      <c r="E4" s="22" t="s">
        <v>70</v>
      </c>
      <c r="F4" s="30" t="s">
        <v>71</v>
      </c>
      <c r="H4" s="22" t="s">
        <v>72</v>
      </c>
      <c r="I4" s="12"/>
      <c r="J4" s="12"/>
      <c r="K4" s="23"/>
      <c r="L4" s="24" t="s">
        <v>69</v>
      </c>
      <c r="M4" s="25">
        <v>16750.0</v>
      </c>
      <c r="N4" s="25">
        <v>1250.0</v>
      </c>
      <c r="O4" s="26">
        <v>-5000.0</v>
      </c>
      <c r="P4" s="25" t="s">
        <v>73</v>
      </c>
      <c r="Q4" s="27" t="s">
        <v>65</v>
      </c>
      <c r="R4" s="28"/>
      <c r="S4" s="12"/>
      <c r="T4" s="31"/>
      <c r="U4" s="32"/>
      <c r="V4" s="12"/>
      <c r="W4" s="12"/>
      <c r="X4" s="12"/>
      <c r="Y4" s="12"/>
      <c r="Z4" s="12"/>
      <c r="AA4" s="12"/>
      <c r="AB4" s="12"/>
    </row>
    <row r="5" ht="19.5" customHeight="1">
      <c r="A5" s="5"/>
      <c r="C5" s="22"/>
      <c r="D5" s="22" t="s">
        <v>74</v>
      </c>
      <c r="E5" s="22" t="s">
        <v>75</v>
      </c>
      <c r="H5" s="22" t="s">
        <v>72</v>
      </c>
      <c r="I5" s="12"/>
      <c r="J5" s="12"/>
      <c r="K5" s="23"/>
      <c r="L5" s="24" t="s">
        <v>76</v>
      </c>
      <c r="M5" s="25">
        <v>15000.0</v>
      </c>
      <c r="N5" s="25">
        <v>1250.0</v>
      </c>
      <c r="O5" s="26">
        <v>-7500.0</v>
      </c>
      <c r="P5" s="25">
        <f>M5+N5+O5</f>
        <v>8750</v>
      </c>
      <c r="Q5" s="27" t="s">
        <v>65</v>
      </c>
      <c r="R5" s="33"/>
      <c r="S5" s="12"/>
      <c r="T5" s="31"/>
      <c r="U5" s="32"/>
      <c r="V5" s="12"/>
      <c r="W5" s="12"/>
      <c r="X5" s="12"/>
      <c r="Y5" s="12"/>
      <c r="Z5" s="12"/>
      <c r="AA5" s="12"/>
      <c r="AB5" s="12"/>
    </row>
    <row r="6" ht="19.5" customHeight="1">
      <c r="A6" s="5">
        <v>25237.0</v>
      </c>
      <c r="C6" s="22"/>
      <c r="D6" s="22" t="s">
        <v>77</v>
      </c>
      <c r="E6" s="22" t="s">
        <v>78</v>
      </c>
      <c r="H6" s="22" t="s">
        <v>72</v>
      </c>
      <c r="I6" s="12"/>
      <c r="J6" s="12"/>
      <c r="K6" s="23"/>
      <c r="L6" s="22" t="s">
        <v>74</v>
      </c>
      <c r="M6" s="25">
        <v>16750.0</v>
      </c>
      <c r="N6" s="25">
        <v>1250.0</v>
      </c>
      <c r="O6" s="26">
        <v>-8000.0</v>
      </c>
      <c r="P6" s="25" t="s">
        <v>73</v>
      </c>
      <c r="Q6" s="27" t="s">
        <v>65</v>
      </c>
      <c r="R6" s="27"/>
      <c r="S6" s="12"/>
      <c r="T6" s="31"/>
      <c r="U6" s="32"/>
      <c r="V6" s="12"/>
      <c r="W6" s="12"/>
      <c r="X6" s="12"/>
      <c r="Y6" s="12"/>
      <c r="Z6" s="12"/>
      <c r="AA6" s="12"/>
      <c r="AB6" s="12"/>
    </row>
    <row r="7" ht="19.5" customHeight="1">
      <c r="A7" s="12"/>
      <c r="B7" s="12"/>
      <c r="C7" s="22"/>
      <c r="D7" s="22" t="s">
        <v>76</v>
      </c>
      <c r="E7" s="22" t="s">
        <v>79</v>
      </c>
      <c r="F7" s="22">
        <v>7.630884907E9</v>
      </c>
      <c r="G7" s="22" t="s">
        <v>80</v>
      </c>
      <c r="H7" s="22" t="s">
        <v>81</v>
      </c>
      <c r="I7" s="12"/>
      <c r="J7" s="12"/>
      <c r="K7" s="23"/>
      <c r="L7" s="24" t="s">
        <v>82</v>
      </c>
      <c r="M7" s="25">
        <v>16000.0</v>
      </c>
      <c r="N7" s="25"/>
      <c r="O7" s="26"/>
      <c r="P7" s="25">
        <f>M7+N7+O7</f>
        <v>16000</v>
      </c>
      <c r="Q7" s="28"/>
      <c r="R7" s="34"/>
      <c r="S7" s="12"/>
      <c r="T7" s="9"/>
      <c r="U7" s="11"/>
      <c r="V7" s="12"/>
      <c r="W7" s="12"/>
      <c r="X7" s="12"/>
      <c r="Y7" s="12"/>
      <c r="Z7" s="12"/>
      <c r="AA7" s="12"/>
      <c r="AB7" s="12"/>
    </row>
    <row r="8" ht="19.5" customHeight="1">
      <c r="A8" s="12"/>
      <c r="B8" s="12"/>
      <c r="C8" s="22"/>
      <c r="D8" s="22"/>
      <c r="E8" s="22"/>
      <c r="F8" s="22"/>
      <c r="G8" s="22"/>
      <c r="H8" s="22"/>
      <c r="I8" s="12"/>
      <c r="J8" s="12"/>
      <c r="K8" s="23"/>
      <c r="L8" s="35" t="s">
        <v>77</v>
      </c>
      <c r="M8" s="25">
        <v>16750.0</v>
      </c>
      <c r="N8" s="25">
        <v>1250.0</v>
      </c>
      <c r="O8" s="26"/>
      <c r="P8" s="25" t="s">
        <v>73</v>
      </c>
      <c r="Q8" s="27"/>
      <c r="R8" s="28"/>
      <c r="S8" s="12"/>
      <c r="T8" s="11"/>
      <c r="U8" s="36"/>
      <c r="V8" s="12"/>
      <c r="W8" s="12"/>
      <c r="X8" s="12"/>
      <c r="Y8" s="12"/>
      <c r="Z8" s="12"/>
      <c r="AA8" s="12"/>
      <c r="AB8" s="12"/>
    </row>
    <row r="9">
      <c r="A9" s="12"/>
      <c r="B9" s="12"/>
      <c r="C9" s="37"/>
      <c r="D9" s="37"/>
      <c r="E9" s="37"/>
      <c r="F9" s="37"/>
      <c r="G9" s="37"/>
      <c r="H9" s="38"/>
      <c r="I9" s="12"/>
      <c r="J9" s="12"/>
      <c r="K9" s="39" t="s">
        <v>83</v>
      </c>
      <c r="L9" s="40"/>
      <c r="M9" s="41">
        <f t="shared" ref="M9:P9" si="2">SUM(M2:M8)</f>
        <v>116250</v>
      </c>
      <c r="N9" s="41">
        <f t="shared" si="2"/>
        <v>7500</v>
      </c>
      <c r="O9" s="42">
        <f t="shared" si="2"/>
        <v>-35500</v>
      </c>
      <c r="P9" s="41">
        <f t="shared" si="2"/>
        <v>47250</v>
      </c>
      <c r="Q9" s="43"/>
      <c r="R9" s="43"/>
      <c r="S9" s="12"/>
      <c r="T9" s="12"/>
      <c r="U9" s="36"/>
      <c r="V9" s="12"/>
      <c r="W9" s="12"/>
      <c r="X9" s="12"/>
      <c r="Y9" s="12"/>
      <c r="Z9" s="12"/>
      <c r="AA9" s="12"/>
      <c r="AB9" s="12"/>
    </row>
    <row r="10">
      <c r="A10" s="12"/>
      <c r="B10" s="12"/>
      <c r="C10" s="37"/>
      <c r="D10" s="37"/>
      <c r="E10" s="37"/>
      <c r="F10" s="37"/>
      <c r="G10" s="37"/>
      <c r="H10" s="38"/>
      <c r="I10" s="12"/>
      <c r="J10" s="12"/>
      <c r="K10" s="12"/>
      <c r="L10" s="12"/>
      <c r="M10" s="44">
        <v>244350.0</v>
      </c>
      <c r="Q10" s="12"/>
      <c r="R10" s="12"/>
      <c r="S10" s="12"/>
      <c r="T10" s="12"/>
      <c r="U10" s="36"/>
      <c r="V10" s="12"/>
      <c r="W10" s="12"/>
      <c r="X10" s="12"/>
      <c r="Y10" s="12"/>
      <c r="Z10" s="12"/>
      <c r="AA10" s="12"/>
      <c r="AB10" s="12"/>
    </row>
    <row r="11">
      <c r="A11" s="12"/>
      <c r="B11" s="12"/>
      <c r="C11" s="37"/>
      <c r="D11" s="37"/>
      <c r="E11" s="37"/>
      <c r="F11" s="37"/>
      <c r="G11" s="37"/>
      <c r="H11" s="38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36"/>
      <c r="V11" s="12"/>
      <c r="W11" s="12"/>
      <c r="X11" s="12"/>
      <c r="Y11" s="12"/>
      <c r="Z11" s="12"/>
      <c r="AA11" s="12"/>
      <c r="AB11" s="12"/>
    </row>
    <row r="12">
      <c r="A12" s="12"/>
      <c r="B12" s="12"/>
      <c r="C12" s="37"/>
      <c r="D12" s="37"/>
      <c r="E12" s="37"/>
      <c r="F12" s="37"/>
      <c r="G12" s="37"/>
      <c r="H12" s="38"/>
      <c r="I12" s="12"/>
      <c r="J12" s="12"/>
      <c r="K12" s="12"/>
      <c r="L12" s="12"/>
      <c r="M12" s="1" t="s">
        <v>84</v>
      </c>
      <c r="O12" s="45">
        <f>P9</f>
        <v>47250</v>
      </c>
      <c r="R12" s="46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>
      <c r="A13" s="12"/>
      <c r="B13" s="12"/>
      <c r="C13" s="37"/>
      <c r="D13" s="37"/>
      <c r="E13" s="37"/>
      <c r="F13" s="37"/>
      <c r="G13" s="37"/>
      <c r="H13" s="38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>
      <c r="A14" s="12"/>
      <c r="B14" s="12"/>
      <c r="C14" s="37"/>
      <c r="D14" s="37"/>
      <c r="E14" s="37"/>
      <c r="F14" s="37"/>
      <c r="G14" s="37"/>
      <c r="H14" s="38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>
      <c r="A15" s="12"/>
      <c r="B15" s="12"/>
      <c r="C15" s="37"/>
      <c r="D15" s="37"/>
      <c r="E15" s="37"/>
      <c r="F15" s="37"/>
      <c r="G15" s="37"/>
      <c r="H15" s="38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>
      <c r="A16" s="12"/>
      <c r="B16" s="12"/>
      <c r="C16" s="37"/>
      <c r="D16" s="37"/>
      <c r="E16" s="37"/>
      <c r="F16" s="37"/>
      <c r="G16" s="37"/>
      <c r="H16" s="38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</row>
  </sheetData>
  <mergeCells count="12">
    <mergeCell ref="A5:B5"/>
    <mergeCell ref="A6:B6"/>
    <mergeCell ref="M10:P10"/>
    <mergeCell ref="M12:N12"/>
    <mergeCell ref="O12:Q12"/>
    <mergeCell ref="A1:B1"/>
    <mergeCell ref="T1:V1"/>
    <mergeCell ref="A2:B2"/>
    <mergeCell ref="A3:B3"/>
    <mergeCell ref="F3:G3"/>
    <mergeCell ref="A4:B4"/>
    <mergeCell ref="F4:G6"/>
  </mergeCells>
  <dataValidations>
    <dataValidation type="list" allowBlank="1" showErrorMessage="1" sqref="H2:H8">
      <formula1>"takeng,4กุมาร,bank,lunny"</formula1>
    </dataValidation>
  </dataValidations>
  <drawing r:id="rId1"/>
</worksheet>
</file>